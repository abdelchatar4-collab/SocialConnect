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messaoudi\Downloads\"/>
    </mc:Choice>
  </mc:AlternateContent>
  <xr:revisionPtr revIDLastSave="0" documentId="8_{45938A65-C28C-4627-A296-BE9B72D2176A}" xr6:coauthVersionLast="47" xr6:coauthVersionMax="47" xr10:uidLastSave="{00000000-0000-0000-0000-000000000000}"/>
  <bookViews>
    <workbookView xWindow="-108" yWindow="-108" windowWidth="23256" windowHeight="12456" xr2:uid="{4FC492ED-3EA0-410D-B50F-B86F6B0934A6}"/>
  </bookViews>
  <sheets>
    <sheet name="Liste usagers 2025" sheetId="6" r:id="rId1"/>
    <sheet name="Synthèse 2025" sheetId="5" r:id="rId2"/>
    <sheet name="Index" sheetId="4" r:id="rId3"/>
  </sheets>
  <externalReferences>
    <externalReference r:id="rId4"/>
  </externalReferences>
  <definedNames>
    <definedName name="_xlnm.Print_Area" localSheetId="1">'Synthèse 2025'!$C:$C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6" i="6" l="1"/>
  <c r="H96" i="6"/>
  <c r="N95" i="6"/>
  <c r="H95" i="6"/>
  <c r="N94" i="6"/>
  <c r="H94" i="6"/>
  <c r="N93" i="6"/>
  <c r="H93" i="6"/>
  <c r="N92" i="6"/>
  <c r="H92" i="6"/>
  <c r="N91" i="6"/>
  <c r="H91" i="6"/>
  <c r="N90" i="6"/>
  <c r="H90" i="6"/>
  <c r="N89" i="6"/>
  <c r="H89" i="6"/>
  <c r="N88" i="6"/>
  <c r="H88" i="6"/>
  <c r="N87" i="6"/>
  <c r="H87" i="6"/>
  <c r="N86" i="6"/>
  <c r="H86" i="6"/>
  <c r="N85" i="6"/>
  <c r="H85" i="6"/>
  <c r="N84" i="6"/>
  <c r="H84" i="6"/>
  <c r="N83" i="6"/>
  <c r="H83" i="6"/>
  <c r="N82" i="6"/>
  <c r="H82" i="6"/>
  <c r="N81" i="6"/>
  <c r="H81" i="6"/>
  <c r="N80" i="6"/>
  <c r="H80" i="6"/>
  <c r="N79" i="6"/>
  <c r="H79" i="6"/>
  <c r="N78" i="6"/>
  <c r="H78" i="6"/>
  <c r="N77" i="6"/>
  <c r="H77" i="6"/>
  <c r="N76" i="6"/>
  <c r="H76" i="6"/>
  <c r="N75" i="6"/>
  <c r="H75" i="6"/>
  <c r="N74" i="6"/>
  <c r="H74" i="6"/>
  <c r="N58" i="6" l="1"/>
  <c r="N59" i="6"/>
  <c r="I35" i="5"/>
  <c r="I13" i="5"/>
  <c r="E10" i="5"/>
  <c r="E9" i="5"/>
  <c r="M23" i="5"/>
  <c r="M22" i="5"/>
  <c r="M21" i="5"/>
  <c r="M20" i="5"/>
  <c r="M7" i="5"/>
  <c r="E6" i="5"/>
  <c r="I12" i="5"/>
  <c r="I26" i="5" a="1"/>
  <c r="I26" i="5" s="1"/>
  <c r="I18" i="5" a="1"/>
  <c r="I18" i="5" s="1"/>
  <c r="I7" i="5" a="1"/>
  <c r="I7" i="5" s="1"/>
  <c r="M17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2" i="6"/>
  <c r="H43" i="6"/>
  <c r="H44" i="6"/>
  <c r="H45" i="6"/>
  <c r="H46" i="6"/>
  <c r="H47" i="6"/>
  <c r="H48" i="6"/>
  <c r="H49" i="6"/>
  <c r="H50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I22" i="5" a="1"/>
  <c r="I22" i="5" s="1"/>
  <c r="I21" i="5" a="1"/>
  <c r="I21" i="5" s="1"/>
  <c r="I20" i="5" a="1"/>
  <c r="I20" i="5" s="1"/>
  <c r="I19" i="5" a="1"/>
  <c r="I19" i="5" s="1"/>
  <c r="I11" i="5" a="1"/>
  <c r="I11" i="5" s="1"/>
  <c r="I10" i="5" a="1"/>
  <c r="I10" i="5" s="1"/>
  <c r="I9" i="5" a="1"/>
  <c r="I9" i="5" s="1"/>
  <c r="I8" i="5" a="1"/>
  <c r="I8" i="5" s="1"/>
  <c r="I23" i="5"/>
  <c r="I30" i="5" a="1"/>
  <c r="I30" i="5" s="1"/>
  <c r="I29" i="5" a="1"/>
  <c r="I29" i="5" s="1"/>
  <c r="I28" i="5" a="1"/>
  <c r="I28" i="5" s="1"/>
  <c r="I27" i="5" a="1"/>
  <c r="I27" i="5" s="1"/>
  <c r="E24" i="5"/>
  <c r="E25" i="5"/>
  <c r="E26" i="5"/>
  <c r="E27" i="5"/>
  <c r="E28" i="5"/>
  <c r="E29" i="5"/>
  <c r="E30" i="5"/>
  <c r="E31" i="5"/>
  <c r="M16" i="5"/>
  <c r="M15" i="5"/>
  <c r="M9" i="5"/>
  <c r="M8" i="5"/>
  <c r="I40" i="5"/>
  <c r="I39" i="5"/>
  <c r="I38" i="5"/>
  <c r="I37" i="5"/>
  <c r="I36" i="5"/>
  <c r="I34" i="5"/>
  <c r="I31" i="5"/>
  <c r="I14" i="5" l="1"/>
  <c r="E32" i="5"/>
  <c r="M10" i="5"/>
  <c r="F29" i="5"/>
  <c r="J12" i="5"/>
  <c r="N7" i="5"/>
  <c r="N8" i="5"/>
  <c r="F31" i="5"/>
  <c r="N9" i="5"/>
  <c r="F30" i="5"/>
  <c r="J13" i="5"/>
  <c r="J31" i="5"/>
  <c r="F25" i="5"/>
  <c r="F24" i="5"/>
  <c r="J26" i="5"/>
  <c r="J29" i="5"/>
  <c r="F27" i="5"/>
  <c r="J27" i="5"/>
  <c r="J30" i="5"/>
  <c r="F28" i="5"/>
  <c r="J7" i="5"/>
  <c r="F26" i="5"/>
  <c r="J8" i="5"/>
  <c r="J9" i="5"/>
  <c r="J10" i="5"/>
  <c r="J28" i="5"/>
  <c r="J11" i="5"/>
  <c r="E13" i="5"/>
  <c r="I24" i="5"/>
  <c r="E11" i="5"/>
  <c r="E14" i="5"/>
  <c r="E15" i="5"/>
  <c r="E16" i="5"/>
  <c r="E17" i="5"/>
  <c r="E18" i="5"/>
  <c r="E19" i="5"/>
  <c r="E20" i="5"/>
  <c r="I41" i="5"/>
  <c r="J37" i="5" s="1"/>
  <c r="M24" i="5"/>
  <c r="I32" i="5"/>
  <c r="J14" i="5" l="1"/>
  <c r="N10" i="5"/>
  <c r="F32" i="5"/>
  <c r="E21" i="5"/>
  <c r="F21" i="5" s="1"/>
  <c r="F10" i="5"/>
  <c r="F9" i="5"/>
  <c r="N21" i="5"/>
  <c r="N20" i="5"/>
  <c r="N22" i="5"/>
  <c r="N23" i="5"/>
  <c r="J32" i="5"/>
  <c r="J34" i="5"/>
  <c r="J38" i="5"/>
  <c r="J40" i="5"/>
  <c r="J36" i="5"/>
  <c r="J39" i="5"/>
  <c r="J35" i="5"/>
  <c r="J21" i="5"/>
  <c r="J23" i="5"/>
  <c r="J22" i="5"/>
  <c r="J18" i="5"/>
  <c r="J24" i="5"/>
  <c r="J19" i="5"/>
  <c r="J20" i="5"/>
  <c r="F11" i="5" l="1"/>
  <c r="N24" i="5"/>
  <c r="J41" i="5"/>
  <c r="F17" i="5"/>
  <c r="F14" i="5"/>
  <c r="F15" i="5"/>
  <c r="F18" i="5"/>
  <c r="F13" i="5"/>
  <c r="F19" i="5"/>
  <c r="F20" i="5"/>
  <c r="F16" i="5"/>
  <c r="M18" i="5" l="1"/>
  <c r="N17" i="5" s="1"/>
  <c r="N16" i="5" l="1"/>
  <c r="N15" i="5"/>
  <c r="N18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<sst xmlns="http://schemas.openxmlformats.org/spreadsheetml/2006/main" count="3440" uniqueCount="1199">
  <si>
    <t>Gestion et temporalité</t>
  </si>
  <si>
    <t>Origine et nature de la demande</t>
  </si>
  <si>
    <t>Traitement apporté</t>
  </si>
  <si>
    <t>N° de dossier</t>
  </si>
  <si>
    <t>Nom</t>
  </si>
  <si>
    <t>Prénom</t>
  </si>
  <si>
    <t>Genre</t>
  </si>
  <si>
    <t>Tranche d'âge</t>
  </si>
  <si>
    <t>Adresse</t>
  </si>
  <si>
    <t>N°</t>
  </si>
  <si>
    <t>Secteur</t>
  </si>
  <si>
    <t>N°de téléphone</t>
  </si>
  <si>
    <t>Adresse mail</t>
  </si>
  <si>
    <t xml:space="preserve">Titulaire </t>
  </si>
  <si>
    <t xml:space="preserve">Date de reception </t>
  </si>
  <si>
    <t xml:space="preserve">Date d'ouverture </t>
  </si>
  <si>
    <t>Delai de traitement</t>
  </si>
  <si>
    <t>Date de clôture</t>
  </si>
  <si>
    <t>Type de conflit</t>
  </si>
  <si>
    <t>Autre type de conflit</t>
  </si>
  <si>
    <t>Envoyeur</t>
  </si>
  <si>
    <t>Autres</t>
  </si>
  <si>
    <t>Partenaire</t>
  </si>
  <si>
    <t>Type de médiation</t>
  </si>
  <si>
    <t>Orientation</t>
  </si>
  <si>
    <t>Statut</t>
  </si>
  <si>
    <t>Issue</t>
  </si>
  <si>
    <t>Wester</t>
  </si>
  <si>
    <t>Théo</t>
  </si>
  <si>
    <t>Homme</t>
  </si>
  <si>
    <t>30 - 50 ans</t>
  </si>
  <si>
    <t>Avenue Docteur Zamenhof</t>
  </si>
  <si>
    <t>2/164</t>
  </si>
  <si>
    <t>0476/893403</t>
  </si>
  <si>
    <t>theo.wester@gmail.com</t>
  </si>
  <si>
    <t>Louise</t>
  </si>
  <si>
    <t>Conflits Locatifs</t>
  </si>
  <si>
    <t>Demande spontanée</t>
  </si>
  <si>
    <t>Autre</t>
  </si>
  <si>
    <t>PILDA</t>
  </si>
  <si>
    <t>Individuelle</t>
  </si>
  <si>
    <t>Clôturé</t>
  </si>
  <si>
    <t>Réorientation</t>
  </si>
  <si>
    <t>Grami</t>
  </si>
  <si>
    <t>Wannes</t>
  </si>
  <si>
    <t>Chaussée de Ninove 623-739 /700-788</t>
  </si>
  <si>
    <t>0486/939870</t>
  </si>
  <si>
    <t>Pascal</t>
  </si>
  <si>
    <t>Copropriété</t>
  </si>
  <si>
    <t>ULAC</t>
  </si>
  <si>
    <t>Apaisement</t>
  </si>
  <si>
    <t>Gambier</t>
  </si>
  <si>
    <t>Manon</t>
  </si>
  <si>
    <t>Femme</t>
  </si>
  <si>
    <t>18 - 30 ans</t>
  </si>
  <si>
    <t>Rue Georges Moreau</t>
  </si>
  <si>
    <t>33663775606</t>
  </si>
  <si>
    <t>manongambier95@gmail.com</t>
  </si>
  <si>
    <t>Conflits de voisinage</t>
  </si>
  <si>
    <t>nuisances sonores</t>
  </si>
  <si>
    <t>Déjà venu</t>
  </si>
  <si>
    <t>Ecole St Pierre</t>
  </si>
  <si>
    <t>Refus (de l'une partie ou des deux)</t>
  </si>
  <si>
    <t>Sibide</t>
  </si>
  <si>
    <t>Fatoumata</t>
  </si>
  <si>
    <t>diakiteadma113@gmail.com</t>
  </si>
  <si>
    <t>Impossibilité technique (non-joignables)</t>
  </si>
  <si>
    <t>Rouyer</t>
  </si>
  <si>
    <t>Emma</t>
  </si>
  <si>
    <t>0485/398629</t>
  </si>
  <si>
    <t>emma_zebr@yahoo.fr</t>
  </si>
  <si>
    <t>Autres conflits</t>
  </si>
  <si>
    <t>Entre artistes (propriété intellectuelle)</t>
  </si>
  <si>
    <t>TSR</t>
  </si>
  <si>
    <t>Avocat</t>
  </si>
  <si>
    <t>Van Saene</t>
  </si>
  <si>
    <t>David</t>
  </si>
  <si>
    <t>Avenue Eugène Ysaÿe</t>
  </si>
  <si>
    <t>0486/510427</t>
  </si>
  <si>
    <t>Benayad</t>
  </si>
  <si>
    <t>Abdellatif</t>
  </si>
  <si>
    <t>Rue de Douvres</t>
  </si>
  <si>
    <t>0495777585</t>
  </si>
  <si>
    <t>renovaben@yahoo.fr</t>
  </si>
  <si>
    <t>Carvalho</t>
  </si>
  <si>
    <t>Daniel</t>
  </si>
  <si>
    <t>ADRESSE</t>
  </si>
  <si>
    <t>0494831519</t>
  </si>
  <si>
    <t>dani.vdc@live.com</t>
  </si>
  <si>
    <t>Sedia</t>
  </si>
  <si>
    <t>50 ans et +</t>
  </si>
  <si>
    <t>Rue Buffon</t>
  </si>
  <si>
    <t>arbre</t>
  </si>
  <si>
    <t>Square de l'Aviation</t>
  </si>
  <si>
    <t>Adakaev</t>
  </si>
  <si>
    <t>adakaev@outlook.com</t>
  </si>
  <si>
    <t>stationnement</t>
  </si>
  <si>
    <t>SAC</t>
  </si>
  <si>
    <t>Cesatti</t>
  </si>
  <si>
    <t>Nellio</t>
  </si>
  <si>
    <t>Place Henri De Smet</t>
  </si>
  <si>
    <t xml:space="preserve">0474/76 57 80 </t>
  </si>
  <si>
    <t>Amine</t>
  </si>
  <si>
    <t>Bulambo</t>
  </si>
  <si>
    <t>Dunia</t>
  </si>
  <si>
    <t>Rue de l'Orphelinat</t>
  </si>
  <si>
    <t>0493/46 24 12</t>
  </si>
  <si>
    <t>Police</t>
  </si>
  <si>
    <t>Interruption du processus de médiation</t>
  </si>
  <si>
    <t>antagana</t>
  </si>
  <si>
    <t>sandrine</t>
  </si>
  <si>
    <t>0465275893</t>
  </si>
  <si>
    <t>tang.ana@outlook.com</t>
  </si>
  <si>
    <t xml:space="preserve">état des lieux </t>
  </si>
  <si>
    <t>Cenem</t>
  </si>
  <si>
    <t>Alexandre</t>
  </si>
  <si>
    <t>0478357132</t>
  </si>
  <si>
    <t>Conflits Familiaux/ Conjugaux</t>
  </si>
  <si>
    <t>separation garde de l enfant</t>
  </si>
  <si>
    <t>lawniczak</t>
  </si>
  <si>
    <t>marlon</t>
  </si>
  <si>
    <t>0456752606</t>
  </si>
  <si>
    <t>garde enfant</t>
  </si>
  <si>
    <t>Almi</t>
  </si>
  <si>
    <t>El hassan</t>
  </si>
  <si>
    <t>0486087344</t>
  </si>
  <si>
    <t>slaama@abcoop.be</t>
  </si>
  <si>
    <t xml:space="preserve">Benatia </t>
  </si>
  <si>
    <t>mohamed</t>
  </si>
  <si>
    <t>0487447501</t>
  </si>
  <si>
    <t xml:space="preserve"> conflit avec infor sourd</t>
  </si>
  <si>
    <t>Avenue de la Libre Académie</t>
  </si>
  <si>
    <t>Justice de Paix</t>
  </si>
  <si>
    <t>permanence</t>
  </si>
  <si>
    <t>Accord écrit</t>
  </si>
  <si>
    <t>Nasir</t>
  </si>
  <si>
    <t>Warsan</t>
  </si>
  <si>
    <t>Rue des Goujons</t>
  </si>
  <si>
    <t>0465/662462</t>
  </si>
  <si>
    <t>Genkhang</t>
  </si>
  <si>
    <t>Rigzin</t>
  </si>
  <si>
    <t>Avenue du Roi Soldat</t>
  </si>
  <si>
    <t>0474995189</t>
  </si>
  <si>
    <t>himalayancraft4you@gmail.com</t>
  </si>
  <si>
    <t>Kenf</t>
  </si>
  <si>
    <t>Benedicte</t>
  </si>
  <si>
    <t>Avenue d'Itterbeek</t>
  </si>
  <si>
    <t>Cohabitation/colocation</t>
  </si>
  <si>
    <t>Amyay</t>
  </si>
  <si>
    <t>Abdelaziz</t>
  </si>
  <si>
    <t>Rue Victor Rauter</t>
  </si>
  <si>
    <t>0487/531305</t>
  </si>
  <si>
    <t>Sanciaume</t>
  </si>
  <si>
    <t>Luc</t>
  </si>
  <si>
    <t>Rue de Veeweyde</t>
  </si>
  <si>
    <t>0471/36 58 15</t>
  </si>
  <si>
    <t>D'Ostunx</t>
  </si>
  <si>
    <t>cathy</t>
  </si>
  <si>
    <t>0495498855</t>
  </si>
  <si>
    <t>Apaisement avant médiation</t>
  </si>
  <si>
    <t>Fourneau</t>
  </si>
  <si>
    <t>olivier</t>
  </si>
  <si>
    <t>Rue Adolphe Willemyns</t>
  </si>
  <si>
    <t>0485794472</t>
  </si>
  <si>
    <t>mur mitoyen</t>
  </si>
  <si>
    <t>Vanbroeck</t>
  </si>
  <si>
    <t>gretta</t>
  </si>
  <si>
    <t>Avenue Marius Renard</t>
  </si>
  <si>
    <t>0478637118</t>
  </si>
  <si>
    <t>nuisance sonore</t>
  </si>
  <si>
    <t>Avenue Romain Rolland</t>
  </si>
  <si>
    <t>02/520 05 04</t>
  </si>
  <si>
    <t>proximus</t>
  </si>
  <si>
    <t>Ouantis</t>
  </si>
  <si>
    <t>Ben Abdallah</t>
  </si>
  <si>
    <t>Clos des Asters</t>
  </si>
  <si>
    <t>8A</t>
  </si>
  <si>
    <t>0489/85 34 95</t>
  </si>
  <si>
    <t>Waerzeggers</t>
  </si>
  <si>
    <t>Louis</t>
  </si>
  <si>
    <t>0474/61 61 26</t>
  </si>
  <si>
    <t>espaces verts - commune</t>
  </si>
  <si>
    <t>Kapp</t>
  </si>
  <si>
    <t>sebastien</t>
  </si>
  <si>
    <t>0487798816</t>
  </si>
  <si>
    <t>seb_kapp@hotmail.com</t>
  </si>
  <si>
    <t>divorce</t>
  </si>
  <si>
    <t>Neumans</t>
  </si>
  <si>
    <t>j-p</t>
  </si>
  <si>
    <t>0499939875</t>
  </si>
  <si>
    <t>garantie locative</t>
  </si>
  <si>
    <t>Boly</t>
  </si>
  <si>
    <t>A</t>
  </si>
  <si>
    <t>Rue de Birmingham</t>
  </si>
  <si>
    <t>0487646500</t>
  </si>
  <si>
    <t>adiaratouboly@yahoo.fr</t>
  </si>
  <si>
    <t>bruit enfant</t>
  </si>
  <si>
    <t>Khabouchi</t>
  </si>
  <si>
    <t>Marwa</t>
  </si>
  <si>
    <t>0495/56 28 39</t>
  </si>
  <si>
    <t>ASBL Après tout</t>
  </si>
  <si>
    <t>sans nom</t>
  </si>
  <si>
    <t>propriétaire</t>
  </si>
  <si>
    <t>0474472178</t>
  </si>
  <si>
    <t>sene</t>
  </si>
  <si>
    <t>elhadji</t>
  </si>
  <si>
    <t>0484161556</t>
  </si>
  <si>
    <t>bruit enfants</t>
  </si>
  <si>
    <t xml:space="preserve">ercovier </t>
  </si>
  <si>
    <t>henri</t>
  </si>
  <si>
    <t>Avenue Tolstoï</t>
  </si>
  <si>
    <t>0496794180</t>
  </si>
  <si>
    <t>femme , enfants,amant</t>
  </si>
  <si>
    <t>Foyer Anderlechtois</t>
  </si>
  <si>
    <t>Bouthagane</t>
  </si>
  <si>
    <t>zora</t>
  </si>
  <si>
    <t>goujon</t>
  </si>
  <si>
    <t>0496294427</t>
  </si>
  <si>
    <t>Baufays</t>
  </si>
  <si>
    <t>Francis</t>
  </si>
  <si>
    <t>Avenue Frans Van Kalken</t>
  </si>
  <si>
    <t>02/523 18 67</t>
  </si>
  <si>
    <t>bruits voisins du dessus</t>
  </si>
  <si>
    <t>Cabinet Miroir</t>
  </si>
  <si>
    <t>Ladia</t>
  </si>
  <si>
    <t>alexia</t>
  </si>
  <si>
    <t>0486366409</t>
  </si>
  <si>
    <t xml:space="preserve">non paiement loyer </t>
  </si>
  <si>
    <t>Chentouf</t>
  </si>
  <si>
    <t>Rachid</t>
  </si>
  <si>
    <t>Rue Docteur Kuborn</t>
  </si>
  <si>
    <t>0485/448303</t>
  </si>
  <si>
    <t>Conflits en lien avec l'espace public</t>
  </si>
  <si>
    <t>saleté trottoir</t>
  </si>
  <si>
    <t>Affiche</t>
  </si>
  <si>
    <t>Gardiens de la Paix</t>
  </si>
  <si>
    <t>Collective</t>
  </si>
  <si>
    <t>Servais</t>
  </si>
  <si>
    <t>Mireille</t>
  </si>
  <si>
    <t>0473/540811</t>
  </si>
  <si>
    <t>mireille@m11.be</t>
  </si>
  <si>
    <t>Expulsions</t>
  </si>
  <si>
    <t>Berg</t>
  </si>
  <si>
    <t>Ylva</t>
  </si>
  <si>
    <t>Rue Porselein</t>
  </si>
  <si>
    <t>0485/148446</t>
  </si>
  <si>
    <t>humidité mur mitoyen</t>
  </si>
  <si>
    <t>Mostinckx</t>
  </si>
  <si>
    <t>Robbe</t>
  </si>
  <si>
    <t>Rue Saint-Guidon</t>
  </si>
  <si>
    <t>Accord verbal</t>
  </si>
  <si>
    <t>Tramara</t>
  </si>
  <si>
    <t>Isabelle</t>
  </si>
  <si>
    <t>Rue de l'Agrément</t>
  </si>
  <si>
    <t>conflit propriétaire</t>
  </si>
  <si>
    <t>Lorman</t>
  </si>
  <si>
    <t>Jean-Marie</t>
  </si>
  <si>
    <t>0478/293287</t>
  </si>
  <si>
    <t>Beaufays</t>
  </si>
  <si>
    <t>0479/060187</t>
  </si>
  <si>
    <t>bruit</t>
  </si>
  <si>
    <t>Lardinois</t>
  </si>
  <si>
    <t>La Roue</t>
  </si>
  <si>
    <t>0475/342189</t>
  </si>
  <si>
    <t>Dettes entre amis</t>
  </si>
  <si>
    <t>Boyker</t>
  </si>
  <si>
    <t>Boulevard Sylvain Dupuis</t>
  </si>
  <si>
    <t>0478/549425</t>
  </si>
  <si>
    <t>bruit/agressivité</t>
  </si>
  <si>
    <t>El Belkhiri</t>
  </si>
  <si>
    <t>Rue Bissé</t>
  </si>
  <si>
    <t>0484/172026</t>
  </si>
  <si>
    <t>litige vente immeuble</t>
  </si>
  <si>
    <t>Juan</t>
  </si>
  <si>
    <t>0491/284212</t>
  </si>
  <si>
    <t>Louise &amp; Pascal</t>
  </si>
  <si>
    <t>CAW Westland</t>
  </si>
  <si>
    <t>Nafie</t>
  </si>
  <si>
    <t>Santé mentale</t>
  </si>
  <si>
    <t>Service Social de Cureghem</t>
  </si>
  <si>
    <t>Voïka</t>
  </si>
  <si>
    <t>Constantin</t>
  </si>
  <si>
    <t>0465/804047</t>
  </si>
  <si>
    <t>Lambert</t>
  </si>
  <si>
    <t>0474/770709</t>
  </si>
  <si>
    <t>Lejeune</t>
  </si>
  <si>
    <t>Avenue Paul Janson</t>
  </si>
  <si>
    <t>0474/472178</t>
  </si>
  <si>
    <t>De Haze</t>
  </si>
  <si>
    <t>Rue Docteur De Meersman</t>
  </si>
  <si>
    <t>0489/240486</t>
  </si>
  <si>
    <t>odeurs</t>
  </si>
  <si>
    <t>Logmt pour Tous</t>
  </si>
  <si>
    <t>Al Lamaakchaoui</t>
  </si>
  <si>
    <t>Ayoub</t>
  </si>
  <si>
    <t>Chaussée de Mons 1-153/2-154</t>
  </si>
  <si>
    <t>0465/379770</t>
  </si>
  <si>
    <t>ayoub.brxl.be@gmail.com</t>
  </si>
  <si>
    <t>odeurs/hygiène</t>
  </si>
  <si>
    <t>CRIPA</t>
  </si>
  <si>
    <t>Muraru</t>
  </si>
  <si>
    <t>Rue Van Soust</t>
  </si>
  <si>
    <t>odeurs cigarettes</t>
  </si>
  <si>
    <t>Boualali</t>
  </si>
  <si>
    <t>0484/081245</t>
  </si>
  <si>
    <t>litige financier associé</t>
  </si>
  <si>
    <t>Tsalikidis</t>
  </si>
  <si>
    <t>Hélène</t>
  </si>
  <si>
    <t>Rue de l'Energie</t>
  </si>
  <si>
    <t>0473/698417</t>
  </si>
  <si>
    <t>comportement locataire</t>
  </si>
  <si>
    <t>Benatia</t>
  </si>
  <si>
    <t>ahmed</t>
  </si>
  <si>
    <t>0472172609</t>
  </si>
  <si>
    <t>conflit avec son AS</t>
  </si>
  <si>
    <t>l escale</t>
  </si>
  <si>
    <t>ouattara</t>
  </si>
  <si>
    <t>0465436003</t>
  </si>
  <si>
    <t>abus de confiance sur personne fragilisé</t>
  </si>
  <si>
    <t>Rawari</t>
  </si>
  <si>
    <t>Ali</t>
  </si>
  <si>
    <t>0485/789156</t>
  </si>
  <si>
    <t>Goujonissimo</t>
  </si>
  <si>
    <t>Chand</t>
  </si>
  <si>
    <t>Dorothy</t>
  </si>
  <si>
    <t>Rue Polydore Moerman</t>
  </si>
  <si>
    <t>0472/677733</t>
  </si>
  <si>
    <t>refus préavis et dialogue</t>
  </si>
  <si>
    <t>Site Internet</t>
  </si>
  <si>
    <t>Malaainine</t>
  </si>
  <si>
    <t>0493749617</t>
  </si>
  <si>
    <t>amineabdomalaaine@gmail.com</t>
  </si>
  <si>
    <t>wathon</t>
  </si>
  <si>
    <t>cynthia</t>
  </si>
  <si>
    <t>Place de la Beauté</t>
  </si>
  <si>
    <t>0487164506</t>
  </si>
  <si>
    <t xml:space="preserve">impayé </t>
  </si>
  <si>
    <t>Lamsyeh</t>
  </si>
  <si>
    <t>sofiane</t>
  </si>
  <si>
    <t>rue de neerpede</t>
  </si>
  <si>
    <t>0486333517</t>
  </si>
  <si>
    <t>Bouach</t>
  </si>
  <si>
    <t>Mohammed</t>
  </si>
  <si>
    <t>0479659353</t>
  </si>
  <si>
    <t>kamtchou</t>
  </si>
  <si>
    <t>lionel</t>
  </si>
  <si>
    <t>marine.perilleux@cpmswl.be</t>
  </si>
  <si>
    <t>Chats JP</t>
  </si>
  <si>
    <t>dettes entretien chatt</t>
  </si>
  <si>
    <t>Vandervecken</t>
  </si>
  <si>
    <t>Lucie</t>
  </si>
  <si>
    <t>Rue Edmond Delcourt</t>
  </si>
  <si>
    <t>17A</t>
  </si>
  <si>
    <t>0476/587336</t>
  </si>
  <si>
    <t>Laaroussi</t>
  </si>
  <si>
    <t>Avenue Nellie Melba</t>
  </si>
  <si>
    <t>0489/879860</t>
  </si>
  <si>
    <t>Bxl Environnmt</t>
  </si>
  <si>
    <t>Abi</t>
  </si>
  <si>
    <t>Rodriguez</t>
  </si>
  <si>
    <t>0478/832986</t>
  </si>
  <si>
    <t>Bche à oreille</t>
  </si>
  <si>
    <t xml:space="preserve">Diop </t>
  </si>
  <si>
    <t>Ndeye</t>
  </si>
  <si>
    <t>0478/048123</t>
  </si>
  <si>
    <t>CPAS</t>
  </si>
  <si>
    <t>Sadik</t>
  </si>
  <si>
    <t>Ayman</t>
  </si>
  <si>
    <t>0466/324687</t>
  </si>
  <si>
    <t>Echevin Prevt</t>
  </si>
  <si>
    <t>Camarata</t>
  </si>
  <si>
    <t>0494/070730</t>
  </si>
  <si>
    <t>Presidt FA</t>
  </si>
  <si>
    <t>Lawniczak</t>
  </si>
  <si>
    <t>Marlon</t>
  </si>
  <si>
    <t>Rue d'Aumale</t>
  </si>
  <si>
    <t>0456/752606</t>
  </si>
  <si>
    <t>bche à oreille</t>
  </si>
  <si>
    <t>Van Overstraeten</t>
  </si>
  <si>
    <t>Rue Delwart</t>
  </si>
  <si>
    <t>0477/542777</t>
  </si>
  <si>
    <t>Stoilova</t>
  </si>
  <si>
    <t>Krasimira</t>
  </si>
  <si>
    <t>Avenue de Scheut</t>
  </si>
  <si>
    <t>0478/478830</t>
  </si>
  <si>
    <t>Franco</t>
  </si>
  <si>
    <t>Rue de la Justice</t>
  </si>
  <si>
    <t>0477/272316</t>
  </si>
  <si>
    <t>Belabed</t>
  </si>
  <si>
    <t>Poitrenaud</t>
  </si>
  <si>
    <t>Rue de la Promenade</t>
  </si>
  <si>
    <t>0478/582359</t>
  </si>
  <si>
    <t>En cours</t>
  </si>
  <si>
    <t>Akifi</t>
  </si>
  <si>
    <t>Adil</t>
  </si>
  <si>
    <t>0488/450335</t>
  </si>
  <si>
    <t>CRU</t>
  </si>
  <si>
    <t>Amar</t>
  </si>
  <si>
    <t>Rue Van Lint</t>
  </si>
  <si>
    <t>Van Hemelrijck</t>
  </si>
  <si>
    <t>Rue de Liverpool</t>
  </si>
  <si>
    <t>0478/708428</t>
  </si>
  <si>
    <t>Simal</t>
  </si>
  <si>
    <t>Benoît</t>
  </si>
  <si>
    <t>0475/836732</t>
  </si>
  <si>
    <t>Permis Environnemt</t>
  </si>
  <si>
    <t>Bandas</t>
  </si>
  <si>
    <t>Sylvia</t>
  </si>
  <si>
    <t>Rue Bara</t>
  </si>
  <si>
    <t>0468/128150</t>
  </si>
  <si>
    <t>Gawrysin</t>
  </si>
  <si>
    <t>Ana</t>
  </si>
  <si>
    <t>0485/840623</t>
  </si>
  <si>
    <t xml:space="preserve">Van Saene </t>
  </si>
  <si>
    <t>Bachtsevanos</t>
  </si>
  <si>
    <t>Vacilios</t>
  </si>
  <si>
    <t>Avenue Norbert Gille</t>
  </si>
  <si>
    <t>basile.bax@gmail.com</t>
  </si>
  <si>
    <t>Brassier</t>
  </si>
  <si>
    <t>Emilie</t>
  </si>
  <si>
    <t>0493193434</t>
  </si>
  <si>
    <t>El Bousealiti</t>
  </si>
  <si>
    <t>Rue de la Procession</t>
  </si>
  <si>
    <t>0484/786593</t>
  </si>
  <si>
    <t>Arbre</t>
  </si>
  <si>
    <t>Home Grade</t>
  </si>
  <si>
    <t>Notaire</t>
  </si>
  <si>
    <t>Jana</t>
  </si>
  <si>
    <t>Nordine</t>
  </si>
  <si>
    <t>0485/529830</t>
  </si>
  <si>
    <t>harcèlment lieu du travail</t>
  </si>
  <si>
    <t>bouche à oreille</t>
  </si>
  <si>
    <t>Tassin</t>
  </si>
  <si>
    <t>Alain</t>
  </si>
  <si>
    <t>0476/473713</t>
  </si>
  <si>
    <t>Boulekwam</t>
  </si>
  <si>
    <t>0470355471</t>
  </si>
  <si>
    <t>Vandenhautte</t>
  </si>
  <si>
    <t>0486461706</t>
  </si>
  <si>
    <t>laurent76bxl@gmail.com</t>
  </si>
  <si>
    <t>Robberechts</t>
  </si>
  <si>
    <t>Sofie</t>
  </si>
  <si>
    <t>0474/432917</t>
  </si>
  <si>
    <t>Defosse</t>
  </si>
  <si>
    <t>Rue du Chapeau</t>
  </si>
  <si>
    <t>0485/863163</t>
  </si>
  <si>
    <t>Pôle Assuétudes</t>
  </si>
  <si>
    <t>service soc comensia</t>
  </si>
  <si>
    <t>Pardeau</t>
  </si>
  <si>
    <t>Romain</t>
  </si>
  <si>
    <t>0484/726577</t>
  </si>
  <si>
    <t>Zonneda</t>
  </si>
  <si>
    <t>Romualdo</t>
  </si>
  <si>
    <t>0485/818416</t>
  </si>
  <si>
    <t>El Hatri</t>
  </si>
  <si>
    <t>Rue des Parfums</t>
  </si>
  <si>
    <t>0483/006273</t>
  </si>
  <si>
    <t>Hygiene</t>
  </si>
  <si>
    <t>AIS (Evere)</t>
  </si>
  <si>
    <t>Assistante sociale néérlandophone</t>
  </si>
  <si>
    <t>02/219 27 21</t>
  </si>
  <si>
    <t>De Cuyper</t>
  </si>
  <si>
    <t>Boulevard de la Révision</t>
  </si>
  <si>
    <t>0485/99 36 84</t>
  </si>
  <si>
    <t>Homegrade</t>
  </si>
  <si>
    <t>Pana</t>
  </si>
  <si>
    <t>Mariana</t>
  </si>
  <si>
    <t>Rue Walcourt</t>
  </si>
  <si>
    <t>0484/59 59 61</t>
  </si>
  <si>
    <t>Ubex</t>
  </si>
  <si>
    <t>ICU + Hygiène</t>
  </si>
  <si>
    <t>Wasidi</t>
  </si>
  <si>
    <t>Afida</t>
  </si>
  <si>
    <t>Quai de Biestebroeck</t>
  </si>
  <si>
    <t>0493/74 77 54</t>
  </si>
  <si>
    <t>Maison prévention</t>
  </si>
  <si>
    <t>Pelzer</t>
  </si>
  <si>
    <t>Laurence</t>
  </si>
  <si>
    <t>0495/264422</t>
  </si>
  <si>
    <t>bruit chien</t>
  </si>
  <si>
    <t>Mustafa</t>
  </si>
  <si>
    <t>Mohamed</t>
  </si>
  <si>
    <t>Clos de l'Équerre</t>
  </si>
  <si>
    <t>0465/66 67 33</t>
  </si>
  <si>
    <t>payements de loyers</t>
  </si>
  <si>
    <t>marie (?)</t>
  </si>
  <si>
    <t>0492/26 24 30</t>
  </si>
  <si>
    <t>Chats (JP)</t>
  </si>
  <si>
    <t>Hébergmt d'un chat</t>
  </si>
  <si>
    <t xml:space="preserve">Vandenhautte </t>
  </si>
  <si>
    <t>Saki</t>
  </si>
  <si>
    <t>Fatima</t>
  </si>
  <si>
    <t>Rue Ruysdael</t>
  </si>
  <si>
    <t>0491/52 12 14</t>
  </si>
  <si>
    <t>Krasowska</t>
  </si>
  <si>
    <t>Julia</t>
  </si>
  <si>
    <t>0499/501509</t>
  </si>
  <si>
    <t>D'Ans</t>
  </si>
  <si>
    <t>Pierre</t>
  </si>
  <si>
    <t>Rue de la Gaité</t>
  </si>
  <si>
    <t>Barraco</t>
  </si>
  <si>
    <t>Giuseppa</t>
  </si>
  <si>
    <t>Information Anderlecht</t>
  </si>
  <si>
    <t>Adami</t>
  </si>
  <si>
    <t>Lahsen</t>
  </si>
  <si>
    <t>Espaces Verts</t>
  </si>
  <si>
    <t>Defays</t>
  </si>
  <si>
    <t>jennifer</t>
  </si>
  <si>
    <t>0475949330</t>
  </si>
  <si>
    <t>octantes@hotmail.com</t>
  </si>
  <si>
    <t>psy</t>
  </si>
  <si>
    <t>Uwingabire</t>
  </si>
  <si>
    <t>Zakia</t>
  </si>
  <si>
    <t>Route de Lennik</t>
  </si>
  <si>
    <t>288A/11</t>
  </si>
  <si>
    <t>0479/726771</t>
  </si>
  <si>
    <t>aliaslisa06@yahoo.fr</t>
  </si>
  <si>
    <t>Problème radiations commune</t>
  </si>
  <si>
    <t>Maison médicale Triangle</t>
  </si>
  <si>
    <t>Rue Lambert Crickx</t>
  </si>
  <si>
    <t>Conflits entre employés</t>
  </si>
  <si>
    <t>Casanovas</t>
  </si>
  <si>
    <t>Dominique</t>
  </si>
  <si>
    <t>Rue Van Wambeke</t>
  </si>
  <si>
    <t>0496/618124</t>
  </si>
  <si>
    <t>Roughou</t>
  </si>
  <si>
    <t>Mariam</t>
  </si>
  <si>
    <t>Rue de la Clinique</t>
  </si>
  <si>
    <t>0488/576472</t>
  </si>
  <si>
    <t>Insalubrité, vols, altercations</t>
  </si>
  <si>
    <t>Julie</t>
  </si>
  <si>
    <t>Rue de l'agrafe</t>
  </si>
  <si>
    <t>0493 82 34 01 </t>
  </si>
  <si>
    <t>Bruit</t>
  </si>
  <si>
    <t>Nefya Akgul</t>
  </si>
  <si>
    <t>Siti</t>
  </si>
  <si>
    <t>Rue Antoine Nys</t>
  </si>
  <si>
    <t>0475/788057</t>
  </si>
  <si>
    <t>Travaux</t>
  </si>
  <si>
    <t>Lamaine</t>
  </si>
  <si>
    <t>Yasmina</t>
  </si>
  <si>
    <t>0473/652226</t>
  </si>
  <si>
    <t>Plantations</t>
  </si>
  <si>
    <t>Ozler</t>
  </si>
  <si>
    <t>Nermin</t>
  </si>
  <si>
    <t>Rue de la Pastorale</t>
  </si>
  <si>
    <t>0467/790427</t>
  </si>
  <si>
    <t>Lataglia</t>
  </si>
  <si>
    <t>0477/211381</t>
  </si>
  <si>
    <t>Bruit/poussière chantier</t>
  </si>
  <si>
    <t>Diallo</t>
  </si>
  <si>
    <t>0496808035</t>
  </si>
  <si>
    <t>Nelio</t>
  </si>
  <si>
    <t>0474/765780</t>
  </si>
  <si>
    <t>Souci avec le syndic</t>
  </si>
  <si>
    <t xml:space="preserve">Bayraktar </t>
  </si>
  <si>
    <t>van loock</t>
  </si>
  <si>
    <t>0460940143</t>
  </si>
  <si>
    <t>rue Van Lint</t>
  </si>
  <si>
    <t>0466/176644</t>
  </si>
  <si>
    <t>Khazzani</t>
  </si>
  <si>
    <t>Lina</t>
  </si>
  <si>
    <t>0485/290710</t>
  </si>
  <si>
    <t>Ben Omar</t>
  </si>
  <si>
    <t>Rue Chomé-Wyns</t>
  </si>
  <si>
    <t>0478/965371</t>
  </si>
  <si>
    <t>Plaite SLRB</t>
  </si>
  <si>
    <t>Katia</t>
  </si>
  <si>
    <t>Rue de l'Hygiène</t>
  </si>
  <si>
    <t>Avocat des parties</t>
  </si>
  <si>
    <t>Trantd</t>
  </si>
  <si>
    <t>Zoé</t>
  </si>
  <si>
    <t>02/540 84 56</t>
  </si>
  <si>
    <t>Ancienne Pascal</t>
  </si>
  <si>
    <t>galo</t>
  </si>
  <si>
    <t>Rue Pierre Vandevoorde</t>
  </si>
  <si>
    <t>0478756282</t>
  </si>
  <si>
    <t>0486935990</t>
  </si>
  <si>
    <t>Van Grimbergen</t>
  </si>
  <si>
    <t>Eric</t>
  </si>
  <si>
    <t>Boulevard Prince de Liège</t>
  </si>
  <si>
    <t>158-160</t>
  </si>
  <si>
    <t>0476/50 57 08</t>
  </si>
  <si>
    <t>Anderlecht Info</t>
  </si>
  <si>
    <t xml:space="preserve">kavak </t>
  </si>
  <si>
    <t>omer</t>
  </si>
  <si>
    <t>0484512127</t>
  </si>
  <si>
    <t>sana arif</t>
  </si>
  <si>
    <t>arif</t>
  </si>
  <si>
    <t>0465927488</t>
  </si>
  <si>
    <t>Daneels (?)</t>
  </si>
  <si>
    <t>Rue Plantin</t>
  </si>
  <si>
    <t>0483/08 89 45</t>
  </si>
  <si>
    <t>Sheviva - ASBL la source</t>
  </si>
  <si>
    <t>0474/76 01 10</t>
  </si>
  <si>
    <t>Albertania</t>
  </si>
  <si>
    <t>Rue de l'Instruction</t>
  </si>
  <si>
    <t>02/523 79 32</t>
  </si>
  <si>
    <t>Samia</t>
  </si>
  <si>
    <t>Saksou</t>
  </si>
  <si>
    <t>Tania</t>
  </si>
  <si>
    <t>Cressens</t>
  </si>
  <si>
    <t>Nicolas</t>
  </si>
  <si>
    <t>0471/65 80 60</t>
  </si>
  <si>
    <t>Fadila</t>
  </si>
  <si>
    <t>Avenue Gounod</t>
  </si>
  <si>
    <t>0472495517</t>
  </si>
  <si>
    <t>charrangui</t>
  </si>
  <si>
    <t>ouijdan</t>
  </si>
  <si>
    <t>0466200631</t>
  </si>
  <si>
    <t>Devos</t>
  </si>
  <si>
    <t>0478/55 68 58</t>
  </si>
  <si>
    <t>Staquet</t>
  </si>
  <si>
    <t>Vivianne</t>
  </si>
  <si>
    <t>0475/82 64 00</t>
  </si>
  <si>
    <t>Houssaine</t>
  </si>
  <si>
    <t>Cattoir</t>
  </si>
  <si>
    <t>Célia</t>
  </si>
  <si>
    <t>Avenue Joseph Vanhellemont</t>
  </si>
  <si>
    <t>0477/36 53 51</t>
  </si>
  <si>
    <t>médiatrice</t>
  </si>
  <si>
    <t>Chabat</t>
  </si>
  <si>
    <t>04888255089</t>
  </si>
  <si>
    <t>Logmt pour tous</t>
  </si>
  <si>
    <t>Kamtchoum</t>
  </si>
  <si>
    <t>Rue des Deux Gares</t>
  </si>
  <si>
    <t>0493/931 813</t>
  </si>
  <si>
    <t>contses</t>
  </si>
  <si>
    <t>elini</t>
  </si>
  <si>
    <t>Rue Louis van Beethoven</t>
  </si>
  <si>
    <t>0478548459</t>
  </si>
  <si>
    <t>mutuelle</t>
  </si>
  <si>
    <t>Aguira</t>
  </si>
  <si>
    <t>0475/22 43 12</t>
  </si>
  <si>
    <t>Ruaa</t>
  </si>
  <si>
    <t>Khale</t>
  </si>
  <si>
    <t>0465/794037</t>
  </si>
  <si>
    <t>ruaakhale@gmail.com</t>
  </si>
  <si>
    <t>Matei</t>
  </si>
  <si>
    <t>Loredana</t>
  </si>
  <si>
    <t>Rue Joseph Pavez</t>
  </si>
  <si>
    <t>matei.loredana75@yahoo.com</t>
  </si>
  <si>
    <t>Lessen</t>
  </si>
  <si>
    <t>Brenda</t>
  </si>
  <si>
    <t>Square Frans Hals</t>
  </si>
  <si>
    <t>65a</t>
  </si>
  <si>
    <t>brenda131093@hotmail.fr</t>
  </si>
  <si>
    <t>Chaussée de Ninove 279-505/280-698</t>
  </si>
  <si>
    <t>0487/850884</t>
  </si>
  <si>
    <t>CGG</t>
  </si>
  <si>
    <t>Milena Willems</t>
  </si>
  <si>
    <t xml:space="preserve">conseils à une assistante sociale </t>
  </si>
  <si>
    <t>En attente</t>
  </si>
  <si>
    <t>Deridder</t>
  </si>
  <si>
    <t>Michael</t>
  </si>
  <si>
    <t>Rue des Résédas</t>
  </si>
  <si>
    <t>13a</t>
  </si>
  <si>
    <t>0487/343 928</t>
  </si>
  <si>
    <t>0469/23 83 47</t>
  </si>
  <si>
    <t>Khan</t>
  </si>
  <si>
    <t>Robina</t>
  </si>
  <si>
    <t>0493/834675</t>
  </si>
  <si>
    <t>robinakhan@skynet.be</t>
  </si>
  <si>
    <t>Surendettement</t>
  </si>
  <si>
    <t>fAURE</t>
  </si>
  <si>
    <t>471552531</t>
  </si>
  <si>
    <t>faure</t>
  </si>
  <si>
    <t>julien</t>
  </si>
  <si>
    <t>ulyenfaure@gmail.com</t>
  </si>
  <si>
    <t>Bah</t>
  </si>
  <si>
    <t>+32466167290</t>
  </si>
  <si>
    <t>pathebah76@yahoo.be</t>
  </si>
  <si>
    <t>Logement pour tous</t>
  </si>
  <si>
    <t>Katabua</t>
  </si>
  <si>
    <t>Sympho</t>
  </si>
  <si>
    <t>symphokatabua@yahoo.com</t>
  </si>
  <si>
    <t>Litige Bxl Logement (Alloc loyer)</t>
  </si>
  <si>
    <t>Westland</t>
  </si>
  <si>
    <t>Fotache</t>
  </si>
  <si>
    <t>Baudour</t>
  </si>
  <si>
    <t>Paul-Emile</t>
  </si>
  <si>
    <t>paulemile.baudour@gmail.com</t>
  </si>
  <si>
    <t>Pathe</t>
  </si>
  <si>
    <t>Logement pour tous - Océane</t>
  </si>
  <si>
    <t>Patricia</t>
  </si>
  <si>
    <t>0492/405 216</t>
  </si>
  <si>
    <t>J'ai tenté d’appeler Madame mais elle n’a pas répondu. Après discussion avec Abdel, il faut lui conseiller d’appeler le CPAS pour prendre un rdv sans mentionner la raison réelle + parler du fascicule des TSR</t>
  </si>
  <si>
    <t>Kadidja</t>
  </si>
  <si>
    <t>0489/877 346</t>
  </si>
  <si>
    <t>J’ai essayé d’appeler mais pas de réponse - laissé un message boite vocale</t>
  </si>
  <si>
    <t>Nouveau</t>
  </si>
  <si>
    <t>Synthèse des données statistiques 2025</t>
  </si>
  <si>
    <t>Nombre de dossiers traités</t>
  </si>
  <si>
    <t>Origine de la demande</t>
  </si>
  <si>
    <t>Pourcentage</t>
  </si>
  <si>
    <t>Statut des dossiers</t>
  </si>
  <si>
    <t>Collègues Prévention</t>
  </si>
  <si>
    <t>Nombre de dossiers par type de médiation</t>
  </si>
  <si>
    <t>Services "Logement"</t>
  </si>
  <si>
    <t>Médiation individuelle</t>
  </si>
  <si>
    <t>Services Judiciaires</t>
  </si>
  <si>
    <t>Médiation collective</t>
  </si>
  <si>
    <t>Services communaux</t>
  </si>
  <si>
    <t>Total</t>
  </si>
  <si>
    <t>Service du secteur associatif</t>
  </si>
  <si>
    <t>Nombre de dossiers par secteur</t>
  </si>
  <si>
    <t>Cureghem</t>
  </si>
  <si>
    <t>Identification</t>
  </si>
  <si>
    <t>Industrie</t>
  </si>
  <si>
    <t>Vaillance</t>
  </si>
  <si>
    <t>Scheut</t>
  </si>
  <si>
    <t>Parc</t>
  </si>
  <si>
    <t>Partenariats/collaborations</t>
  </si>
  <si>
    <t>X</t>
  </si>
  <si>
    <t>Peterbos</t>
  </si>
  <si>
    <t>Neerpede</t>
  </si>
  <si>
    <t>&lt; 18 ans</t>
  </si>
  <si>
    <t>Type de conflis traités</t>
  </si>
  <si>
    <t>Conflits riverains/Horeca</t>
  </si>
  <si>
    <t>Conflits familiaux/conjugaux</t>
  </si>
  <si>
    <t>Conflits locatifs</t>
  </si>
  <si>
    <t>Cohabitation/Colocation</t>
  </si>
  <si>
    <t>Issue de l'intervention</t>
  </si>
  <si>
    <t>Refus (de l'une ou des deux parties)</t>
  </si>
  <si>
    <t>SECTEUR</t>
  </si>
  <si>
    <t>Moins de 18 ans</t>
  </si>
  <si>
    <t>Rue Raymond van Der Bruggen CPAS</t>
  </si>
  <si>
    <t>Adresse de référence</t>
  </si>
  <si>
    <t>Avenue Clemenceau</t>
  </si>
  <si>
    <t>Avenue Clémenceau</t>
  </si>
  <si>
    <t>Boulevard Poincaré</t>
  </si>
  <si>
    <t>Clos de la Petite Senne</t>
  </si>
  <si>
    <t>Place Alphonse Lemmens</t>
  </si>
  <si>
    <t>Place Bara</t>
  </si>
  <si>
    <t>Rue Abbé Cuylits</t>
  </si>
  <si>
    <t>Non binaire</t>
  </si>
  <si>
    <t>Rue Brogniez</t>
  </si>
  <si>
    <t>Rue Broyère</t>
  </si>
  <si>
    <t>Rue de la Bougie</t>
  </si>
  <si>
    <t>Rue de la Poterie</t>
  </si>
  <si>
    <t>Rue de la Rosée</t>
  </si>
  <si>
    <t>Rue de l'Autonomie</t>
  </si>
  <si>
    <t>Envoyeurs/Partenaires</t>
  </si>
  <si>
    <t>Antenne LISA (Peterbos)</t>
  </si>
  <si>
    <t>Rue des Matériaux</t>
  </si>
  <si>
    <t>Antenne LISA (Vaillance)</t>
  </si>
  <si>
    <t>Rue des Mégissiers</t>
  </si>
  <si>
    <t>Cactus</t>
  </si>
  <si>
    <t>Rue du Chimiste</t>
  </si>
  <si>
    <t>Comensia</t>
  </si>
  <si>
    <t>Rue du Compas</t>
  </si>
  <si>
    <t>Rue Foppens</t>
  </si>
  <si>
    <t>Rue Gheude</t>
  </si>
  <si>
    <t>Rue Haberman</t>
  </si>
  <si>
    <t>Rue Heyvaert</t>
  </si>
  <si>
    <t>Rue Jules Ruhl</t>
  </si>
  <si>
    <t>Rue Léon Delacroix</t>
  </si>
  <si>
    <t>Rue Limnander</t>
  </si>
  <si>
    <t>Maison Médicale Horizon</t>
  </si>
  <si>
    <t>Rue Memling</t>
  </si>
  <si>
    <t>Maison Médicale Medikuregem</t>
  </si>
  <si>
    <t>Rue Moretus</t>
  </si>
  <si>
    <t>PCS Albert</t>
  </si>
  <si>
    <t>Rue Odon</t>
  </si>
  <si>
    <t>Rue Otlet</t>
  </si>
  <si>
    <t>Pôle Jeunesse</t>
  </si>
  <si>
    <t>Rue Ropsy Chaudron</t>
  </si>
  <si>
    <t>Prévention Vol</t>
  </si>
  <si>
    <t>Service de Médiation à la Police</t>
  </si>
  <si>
    <t>Square Robert Pequeur</t>
  </si>
  <si>
    <t>Service Mobilité</t>
  </si>
  <si>
    <t>Rue de France</t>
  </si>
  <si>
    <t>Service Séniors</t>
  </si>
  <si>
    <t>Rue de l'Ancienne Gare</t>
  </si>
  <si>
    <t>Allée de Flins</t>
  </si>
  <si>
    <t>Services de Médiation (autres communes)</t>
  </si>
  <si>
    <t>Avenue de la Brasserie</t>
  </si>
  <si>
    <t>Syndicat des Locataires</t>
  </si>
  <si>
    <t>Technoprévention</t>
  </si>
  <si>
    <t>Chaussée de Mons 155-451/156-382</t>
  </si>
  <si>
    <t>Clos Mudra</t>
  </si>
  <si>
    <t>Parc Crickx</t>
  </si>
  <si>
    <t>Place du Conseil</t>
  </si>
  <si>
    <t>Place Grisar</t>
  </si>
  <si>
    <t>Place Jorez</t>
  </si>
  <si>
    <t>Rue Auguste Gevaert</t>
  </si>
  <si>
    <t>Rue Charles Parenté</t>
  </si>
  <si>
    <t>Rue de Fiennes</t>
  </si>
  <si>
    <t>Rue de l'Ecole Moderne</t>
  </si>
  <si>
    <t>Rue de l'Electricité</t>
  </si>
  <si>
    <t>Rue des Bassins</t>
  </si>
  <si>
    <t>Rue des Marchandises</t>
  </si>
  <si>
    <t>Rue des Vétérinaires</t>
  </si>
  <si>
    <t>Rue du Collecteur</t>
  </si>
  <si>
    <t>Rue du Constructeur</t>
  </si>
  <si>
    <t>Rue du Transvaal</t>
  </si>
  <si>
    <t>Rue École Moderne</t>
  </si>
  <si>
    <t>Rue Eloy</t>
  </si>
  <si>
    <t>Rue Emile Carpentier</t>
  </si>
  <si>
    <t>Rue Ernest Blerot</t>
  </si>
  <si>
    <t>Rue Grisar</t>
  </si>
  <si>
    <t>Rue Jorez</t>
  </si>
  <si>
    <t>Rue Joseph Dujardin</t>
  </si>
  <si>
    <t>Rue Pasteur</t>
  </si>
  <si>
    <t>Rue Prévinaire</t>
  </si>
  <si>
    <t>Rue Raphaël</t>
  </si>
  <si>
    <t>Rue Robert Bosch</t>
  </si>
  <si>
    <t>Rue Rossini</t>
  </si>
  <si>
    <t>Rue Sergent De Bruyne</t>
  </si>
  <si>
    <t>Square Albert 1er</t>
  </si>
  <si>
    <t>Square Jules et Edmond Miesse</t>
  </si>
  <si>
    <t>Hof ter Biest</t>
  </si>
  <si>
    <t>Petite Rue du Cerf</t>
  </si>
  <si>
    <t>Rue Bollinckx</t>
  </si>
  <si>
    <t>Rue d'Aa</t>
  </si>
  <si>
    <t>Rue Dante</t>
  </si>
  <si>
    <t>Rue de Biestebroeck</t>
  </si>
  <si>
    <t>Rue de la Bienvenue</t>
  </si>
  <si>
    <t>Rue de la Filature</t>
  </si>
  <si>
    <t>Rue de la Manufacture</t>
  </si>
  <si>
    <t>Rue du Labeur</t>
  </si>
  <si>
    <t>Rue du Nieuwmolen</t>
  </si>
  <si>
    <t>Rue du Sel</t>
  </si>
  <si>
    <t>Rue Henri-Joseph Genesse</t>
  </si>
  <si>
    <t>Rue Paepsem</t>
  </si>
  <si>
    <t>Rue Poxcat</t>
  </si>
  <si>
    <t>Boulevard de l'Humanité</t>
  </si>
  <si>
    <t xml:space="preserve">Industrie </t>
  </si>
  <si>
    <t>Boulevard Paepsem</t>
  </si>
  <si>
    <t>Digue du Canal</t>
  </si>
  <si>
    <t>Quai d'Aa</t>
  </si>
  <si>
    <t>Rue du Cerf</t>
  </si>
  <si>
    <t>Rue du Charroi</t>
  </si>
  <si>
    <t>Rue Gouverneur Nens</t>
  </si>
  <si>
    <t>Square Emile Vandervelde</t>
  </si>
  <si>
    <t>Allée des Orpins</t>
  </si>
  <si>
    <t>Avenue des Cardamines</t>
  </si>
  <si>
    <t>Avenue des Dauphinelles</t>
  </si>
  <si>
    <t>Avenue des Edelweiss</t>
  </si>
  <si>
    <t>Avenue des Immortelles</t>
  </si>
  <si>
    <t>Avenue des Millepertuis</t>
  </si>
  <si>
    <t>Avenue des Pimprenelles</t>
  </si>
  <si>
    <t>Avenue des Stellaires</t>
  </si>
  <si>
    <t>Avenue du Soldat Britannique</t>
  </si>
  <si>
    <t>Avenue Michel de Ghelderode</t>
  </si>
  <si>
    <t>Chaussée de Mons 1425-1447</t>
  </si>
  <si>
    <t>Clos des Marguerites</t>
  </si>
  <si>
    <t>Clos des Saponaires</t>
  </si>
  <si>
    <t>Clos des Soldanelles</t>
  </si>
  <si>
    <t>Parc Michel de Ghelderode</t>
  </si>
  <si>
    <t>Rue Chant d'Oiseaux</t>
  </si>
  <si>
    <t>Square des Linaigrettes</t>
  </si>
  <si>
    <t>Allée Paul Ooghe</t>
  </si>
  <si>
    <t>Avenue de la Persévérance</t>
  </si>
  <si>
    <t>Avenue de la Société Nationale</t>
  </si>
  <si>
    <t>Avenue de Saïo</t>
  </si>
  <si>
    <t>Avenue des Droits de l'Homme</t>
  </si>
  <si>
    <t>Avenue Emile Gryson</t>
  </si>
  <si>
    <t>Avenue Eugène Baie</t>
  </si>
  <si>
    <t>Avenue Guillaume Melckmans</t>
  </si>
  <si>
    <t>Avenue Guillaume Stassart</t>
  </si>
  <si>
    <t>Avenue Marc Henri Van Laer</t>
  </si>
  <si>
    <t>Avenue Simone Veil</t>
  </si>
  <si>
    <t>Avenue Venizelos</t>
  </si>
  <si>
    <t>Avenue Waxweiler</t>
  </si>
  <si>
    <t xml:space="preserve">Boulevard Aristide Briand pair </t>
  </si>
  <si>
    <t>Chaussée de Mons 861-1293/812-1440</t>
  </si>
  <si>
    <t>Clos des Etangs</t>
  </si>
  <si>
    <t>Clos Marie Koré</t>
  </si>
  <si>
    <t>Parc des Colombophiles</t>
  </si>
  <si>
    <t>Parc Résédas</t>
  </si>
  <si>
    <t>Parc Stadium</t>
  </si>
  <si>
    <t>Petite Rue des Loups</t>
  </si>
  <si>
    <t>Petite Rue du Moulin</t>
  </si>
  <si>
    <t>Place Bizet</t>
  </si>
  <si>
    <t>Place de la Roue</t>
  </si>
  <si>
    <t>Place du Confort</t>
  </si>
  <si>
    <t>Place Ernest S'Jonghers</t>
  </si>
  <si>
    <t>Place Ministre Wauters</t>
  </si>
  <si>
    <t>Plaine des Loisirs</t>
  </si>
  <si>
    <t>Quai de Veeweyde</t>
  </si>
  <si>
    <t>Rue Alexandre Pierrard</t>
  </si>
  <si>
    <t>Rue Arthur Dehem</t>
  </si>
  <si>
    <t>Rue Claude Debussy</t>
  </si>
  <si>
    <t>Rue Clément De Cléty</t>
  </si>
  <si>
    <t>Rue Daniel Van Damme</t>
  </si>
  <si>
    <t>Rue de Béthanie</t>
  </si>
  <si>
    <t>Rue de la Mécanique</t>
  </si>
  <si>
    <t>Rue de la Solidarité</t>
  </si>
  <si>
    <t>Rue de la Sympathie</t>
  </si>
  <si>
    <t>Rue de la Tranquilité</t>
  </si>
  <si>
    <t>Rue de la Volonté</t>
  </si>
  <si>
    <t>Rue de l'Architecture</t>
  </si>
  <si>
    <t>Rue de l'Emancipation</t>
  </si>
  <si>
    <t>Rue de Zuen</t>
  </si>
  <si>
    <t>Rue des Alouettes</t>
  </si>
  <si>
    <t>Rue des Bateliers</t>
  </si>
  <si>
    <t>Rue des Citoyens</t>
  </si>
  <si>
    <t>Rue des Colombophiles</t>
  </si>
  <si>
    <t>Rue des Fraises</t>
  </si>
  <si>
    <t>Rue des Grives</t>
  </si>
  <si>
    <t>Rue des Huit Heures</t>
  </si>
  <si>
    <t>Rue des Loups</t>
  </si>
  <si>
    <t>Rue des Plébéiens</t>
  </si>
  <si>
    <t>Rue des Trèfles</t>
  </si>
  <si>
    <t>Rue Docteur Roux</t>
  </si>
  <si>
    <t>Rue du Bouquet</t>
  </si>
  <si>
    <t>Rue du Pré</t>
  </si>
  <si>
    <t>Rue du Savoir</t>
  </si>
  <si>
    <t>Rue du Symbole</t>
  </si>
  <si>
    <t>Rue Félicien Rops</t>
  </si>
  <si>
    <t>Rue Félix De Cuyper</t>
  </si>
  <si>
    <t>Rue Florimond De Pauw</t>
  </si>
  <si>
    <t>Rue Frans Hals</t>
  </si>
  <si>
    <t>Rue Fridtjof Nansen</t>
  </si>
  <si>
    <t>Rue Hector Genard</t>
  </si>
  <si>
    <t>Rue Henri Deleers</t>
  </si>
  <si>
    <t>Rue Hoorickx</t>
  </si>
  <si>
    <t>Rue Huit Heures</t>
  </si>
  <si>
    <t>Rue Jacques Boon</t>
  </si>
  <si>
    <t>Rue James Cook</t>
  </si>
  <si>
    <t>Rue Jean Noté</t>
  </si>
  <si>
    <t>Rue Pierre Schlosser</t>
  </si>
  <si>
    <t>Rue Raymond Ebrant</t>
  </si>
  <si>
    <t>Rue Robert Buyck</t>
  </si>
  <si>
    <t>Rue Van Winghen</t>
  </si>
  <si>
    <t>Sentier de la Drève</t>
  </si>
  <si>
    <t>Allée de la Recherche</t>
  </si>
  <si>
    <t>Allée des Coquelicots</t>
  </si>
  <si>
    <t>Allée des Glycines</t>
  </si>
  <si>
    <t>Allée des Iris</t>
  </si>
  <si>
    <t>Allée des Jacinthes</t>
  </si>
  <si>
    <t>Allée des Perce-neige</t>
  </si>
  <si>
    <t>Allée des Pervenches</t>
  </si>
  <si>
    <t>Avenue Auguste Bourgeois</t>
  </si>
  <si>
    <t>Avenue de la Fécondité</t>
  </si>
  <si>
    <t>Avenue de la Salubrité</t>
  </si>
  <si>
    <t>Avenue des Chanterelles</t>
  </si>
  <si>
    <t>Avenue des Hortensias</t>
  </si>
  <si>
    <t>Avenue des Jonquilles</t>
  </si>
  <si>
    <t>Avenue des Lilas</t>
  </si>
  <si>
    <t>Avenue Henri Simonet</t>
  </si>
  <si>
    <t>Avenue Tempérance</t>
  </si>
  <si>
    <t>Boulevard Josse Leemans</t>
  </si>
  <si>
    <t>Clos des Cèpes</t>
  </si>
  <si>
    <t>Clos des Morilles</t>
  </si>
  <si>
    <t>Clos des Pleurotes</t>
  </si>
  <si>
    <t>Clos du Bolet</t>
  </si>
  <si>
    <t>Contournement Est</t>
  </si>
  <si>
    <t>Drève Olympique</t>
  </si>
  <si>
    <t>Drève Soetkin</t>
  </si>
  <si>
    <t>Drève Tyl Uylenspiegel</t>
  </si>
  <si>
    <t>Place de la Croix-Rouge</t>
  </si>
  <si>
    <t>Place de l'Aurore</t>
  </si>
  <si>
    <t>Place des Tulipes</t>
  </si>
  <si>
    <t>Place Séverine</t>
  </si>
  <si>
    <t>Rue de Koeivijver</t>
  </si>
  <si>
    <t>Rue de la Délivrance</t>
  </si>
  <si>
    <t>Rue de la Dignité</t>
  </si>
  <si>
    <t>Rue de la Floraison</t>
  </si>
  <si>
    <t>Rue de la Modestie</t>
  </si>
  <si>
    <t>Rue de la Santé</t>
  </si>
  <si>
    <t>Rue de l'Enthousiasme</t>
  </si>
  <si>
    <t>Rue de Neerpede</t>
  </si>
  <si>
    <t>Rue de Scherdemael</t>
  </si>
  <si>
    <t>Rue des Betteraves</t>
  </si>
  <si>
    <t>Rue des Lapins</t>
  </si>
  <si>
    <t>Rue des Papillons</t>
  </si>
  <si>
    <t>Rue des Poulets</t>
  </si>
  <si>
    <t>Rue des Quarantaines</t>
  </si>
  <si>
    <t>Rue du Bonheur</t>
  </si>
  <si>
    <t>Rue du Chaudron</t>
  </si>
  <si>
    <t>Rue du Froment</t>
  </si>
  <si>
    <t>Rue du Lièvre</t>
  </si>
  <si>
    <t>Rue du Pommier</t>
  </si>
  <si>
    <t>Rue Edouard Van Muylders</t>
  </si>
  <si>
    <t>Rue Ferdinand Craps</t>
  </si>
  <si>
    <t>Rue Gaston Coudyser</t>
  </si>
  <si>
    <t>Rue Jean Lagey</t>
  </si>
  <si>
    <t>Rue Léon Nicodème</t>
  </si>
  <si>
    <t>Rue Meylemeersch</t>
  </si>
  <si>
    <t>Rue Pierre Van Reymenant</t>
  </si>
  <si>
    <t>Rue Scholle</t>
  </si>
  <si>
    <t>Rue Vlasendael</t>
  </si>
  <si>
    <t>Square de la Fraternelle</t>
  </si>
  <si>
    <t>Allée des Novateurs</t>
  </si>
  <si>
    <t>Allée du Hérisson</t>
  </si>
  <si>
    <t>Avenue Albert De Coster</t>
  </si>
  <si>
    <t>Avenue Camille Vaneukem</t>
  </si>
  <si>
    <t>Avenue Capitaine Fossoul</t>
  </si>
  <si>
    <t>Avenue Chanoine Roose</t>
  </si>
  <si>
    <t>Avenue du Roi-Soldat</t>
  </si>
  <si>
    <t>Avenue Jean Sibélius</t>
  </si>
  <si>
    <t>Avenue Pierre Beyst</t>
  </si>
  <si>
    <t>Avenue Théo Verbeeck</t>
  </si>
  <si>
    <t>Drève des Agaves</t>
  </si>
  <si>
    <t>Parc Astrid</t>
  </si>
  <si>
    <t>Parc de Scherdemael</t>
  </si>
  <si>
    <t>Rond-point Pierre De Tollenaere</t>
  </si>
  <si>
    <t>Rue Chopin</t>
  </si>
  <si>
    <t>Rue Docteur Huet</t>
  </si>
  <si>
    <t>Rue Edgar Tinel</t>
  </si>
  <si>
    <t>Rue Emile Versé</t>
  </si>
  <si>
    <t>Rue Guillaume Lekeu</t>
  </si>
  <si>
    <t>Square Egide Rombaux</t>
  </si>
  <si>
    <t xml:space="preserve">Square Marie Curie </t>
  </si>
  <si>
    <t>Allée Clara Clairbert</t>
  </si>
  <si>
    <t>Avenue Charles De Tollenaere</t>
  </si>
  <si>
    <t>Avenue Claeterbosch</t>
  </si>
  <si>
    <t>Avenue Docteur Lemoine</t>
  </si>
  <si>
    <t>Boulevard Joseph Bracops</t>
  </si>
  <si>
    <t>Parc Debussy</t>
  </si>
  <si>
    <t>Parc des Etangs</t>
  </si>
  <si>
    <t>Parc Joseph Lemaire</t>
  </si>
  <si>
    <t>Parc Vivès</t>
  </si>
  <si>
    <t>Place Martin Luther King</t>
  </si>
  <si>
    <t>Rue de la Vigne</t>
  </si>
  <si>
    <t>Rue Jean-Baptiste-François Denys</t>
  </si>
  <si>
    <t>Rue Pierre Longin</t>
  </si>
  <si>
    <t>Square Jean Hayet</t>
  </si>
  <si>
    <t>Square Victor Voets</t>
  </si>
  <si>
    <t>Sans-abris</t>
  </si>
  <si>
    <t>Pas d'adresse</t>
  </si>
  <si>
    <t>Avenue Charles Plisnier</t>
  </si>
  <si>
    <t>Avenue Commandant Vander Meeren</t>
  </si>
  <si>
    <t>Avenue de la Poésie</t>
  </si>
  <si>
    <t>Avenue des Crocus</t>
  </si>
  <si>
    <t>Avenue Jean Josée</t>
  </si>
  <si>
    <t>Avenue René Berrewaerts</t>
  </si>
  <si>
    <t>Boulevard Maria Groeninckx-De May</t>
  </si>
  <si>
    <t>Boulevard Shakespeare</t>
  </si>
  <si>
    <t>Clos Hof te Ophem</t>
  </si>
  <si>
    <t>Parc de Scheutveld</t>
  </si>
  <si>
    <t>Parc du Peterbos</t>
  </si>
  <si>
    <t>Parc Effort</t>
  </si>
  <si>
    <t>Parc Mercator</t>
  </si>
  <si>
    <t>Parc Rabelais</t>
  </si>
  <si>
    <t>Place de Sainte-Adresse</t>
  </si>
  <si>
    <t>Rue Adolphe Prins</t>
  </si>
  <si>
    <t>Rue Alphonse Demunter</t>
  </si>
  <si>
    <t>Rue Corneille</t>
  </si>
  <si>
    <t>Rue de la Cantilène</t>
  </si>
  <si>
    <t>Rue de la Caravelle</t>
  </si>
  <si>
    <t>Rue de la Compétition</t>
  </si>
  <si>
    <t>Rue de la Corvette</t>
  </si>
  <si>
    <t>Rue de la Prose</t>
  </si>
  <si>
    <t>Rue de l'Agronome</t>
  </si>
  <si>
    <t>Rue de l'Ode</t>
  </si>
  <si>
    <t>Rue de Sévigné</t>
  </si>
  <si>
    <t>Rue Démosthène</t>
  </si>
  <si>
    <t>Rue des Aubergines</t>
  </si>
  <si>
    <t>Rue des Fruits</t>
  </si>
  <si>
    <t>Rue des Maraîchers</t>
  </si>
  <si>
    <t>Rue du Broeck</t>
  </si>
  <si>
    <t>Rue du Champion</t>
  </si>
  <si>
    <t>Rue du Corail</t>
  </si>
  <si>
    <t>Rue du Gazouillis</t>
  </si>
  <si>
    <t>Rue du Pippenzijpe</t>
  </si>
  <si>
    <t>Rue du Potaerdenberg</t>
  </si>
  <si>
    <t>Rue du Roman</t>
  </si>
  <si>
    <t>Rue du Serment</t>
  </si>
  <si>
    <t>Rue du Sillon</t>
  </si>
  <si>
    <t>Rue du Trophée</t>
  </si>
  <si>
    <t>Rue Elskamp</t>
  </si>
  <si>
    <t>Rue Emile Hellebaut</t>
  </si>
  <si>
    <t>Rue Fénelon</t>
  </si>
  <si>
    <t>Rue Henri Caron</t>
  </si>
  <si>
    <t>Rue Henri Maes</t>
  </si>
  <si>
    <t>Rue Homère</t>
  </si>
  <si>
    <t>Rue Horace</t>
  </si>
  <si>
    <t>Rue Jean Morjau</t>
  </si>
  <si>
    <t>Rue Joseph Van Boterdael</t>
  </si>
  <si>
    <t>Rue Karel Vande Woestijne</t>
  </si>
  <si>
    <t>Rue Lamartine</t>
  </si>
  <si>
    <t>Rue Maria Tillmans</t>
  </si>
  <si>
    <t>Rue Martin Van Lier</t>
  </si>
  <si>
    <t>Rue Maurice Albert Raskin</t>
  </si>
  <si>
    <t>Rue Maurice-Albert Raskin</t>
  </si>
  <si>
    <t>Rue Mercator</t>
  </si>
  <si>
    <t>Rue Pol Stoppelaere</t>
  </si>
  <si>
    <t>Rue Rabelais</t>
  </si>
  <si>
    <t>Rue Ronsard</t>
  </si>
  <si>
    <t>Rue Virgile</t>
  </si>
  <si>
    <t>Square Camille Paulsen</t>
  </si>
  <si>
    <t>Square Jules Algoet</t>
  </si>
  <si>
    <t>Boulevard de la Grande Ceinture</t>
  </si>
  <si>
    <t xml:space="preserve">Peterbos </t>
  </si>
  <si>
    <t>Rue Sainte-Adresse</t>
  </si>
  <si>
    <t>Avenue de l'Eternité</t>
  </si>
  <si>
    <t>Avenue des Ménestrels</t>
  </si>
  <si>
    <t>Avenue des Missionaires</t>
  </si>
  <si>
    <t>Avenue François Malherbe</t>
  </si>
  <si>
    <t>Avenue Léon Debatty</t>
  </si>
  <si>
    <t>Avenue Raymond Vander Bruggen</t>
  </si>
  <si>
    <t>Boulevard Felix Paulsen</t>
  </si>
  <si>
    <t>Boulevard Jules Graindor</t>
  </si>
  <si>
    <t>Boulevard Maurice Herbette</t>
  </si>
  <si>
    <t>Parc du Petit-Scheut</t>
  </si>
  <si>
    <t>Parc Obus</t>
  </si>
  <si>
    <t>Parc Semence</t>
  </si>
  <si>
    <t>Place du Droit</t>
  </si>
  <si>
    <t>Place du Repos</t>
  </si>
  <si>
    <t>Quai Fernand Demets</t>
  </si>
  <si>
    <t>Rue Achille Jonas</t>
  </si>
  <si>
    <t>Rue Beeckman de Crayloo</t>
  </si>
  <si>
    <t>Rue Commandant Charcot</t>
  </si>
  <si>
    <t>Rue Cyriel Buysse</t>
  </si>
  <si>
    <t>Rue de Dilbeek</t>
  </si>
  <si>
    <t>Rue de Glasgow</t>
  </si>
  <si>
    <t>Rue de la Cavatine</t>
  </si>
  <si>
    <t>Rue de la Cordialité</t>
  </si>
  <si>
    <t>Rue de la Courtoisie</t>
  </si>
  <si>
    <t>Rue de la Laiterie</t>
  </si>
  <si>
    <t>Rue de la Sincérité</t>
  </si>
  <si>
    <t>Rue de la Vérité</t>
  </si>
  <si>
    <t>Rue de l'Agrafe</t>
  </si>
  <si>
    <t>Rue de l'Aiguille</t>
  </si>
  <si>
    <t>Rue de l'Emulation</t>
  </si>
  <si>
    <t>Rue de l'Expansion</t>
  </si>
  <si>
    <t>Rue de Libre Examen</t>
  </si>
  <si>
    <t>Rue de l'Obus</t>
  </si>
  <si>
    <t>Rue de Sébastopol</t>
  </si>
  <si>
    <t>Rue Denis Verdonck</t>
  </si>
  <si>
    <t>Rue des Orchidées</t>
  </si>
  <si>
    <t>Rue des Tournesols</t>
  </si>
  <si>
    <t>Rue du Bien-Etre</t>
  </si>
  <si>
    <t>Rue du Bien-Être</t>
  </si>
  <si>
    <t>Rue du Bivouac</t>
  </si>
  <si>
    <t>Rue du Devoir</t>
  </si>
  <si>
    <t>Rue du Libre Examen</t>
  </si>
  <si>
    <t>Rue du Souvenir</t>
  </si>
  <si>
    <t>Rue Edmond Rostand</t>
  </si>
  <si>
    <t>Rue Général Ruquoy</t>
  </si>
  <si>
    <t>Rue Jacques Manne</t>
  </si>
  <si>
    <t>Rue Jakob Smits</t>
  </si>
  <si>
    <t>Rue James Ensor</t>
  </si>
  <si>
    <t>Rue Jean Van Lierde</t>
  </si>
  <si>
    <t>Rue Joseph Kelchtermans</t>
  </si>
  <si>
    <t>Rue Jules Broeren</t>
  </si>
  <si>
    <t>Rue Kinet</t>
  </si>
  <si>
    <t>Rue Léopold De Swaef</t>
  </si>
  <si>
    <t>Rue Louis Mascré</t>
  </si>
  <si>
    <t>Rue Puccini</t>
  </si>
  <si>
    <t>Rue Romanie Van Dyck</t>
  </si>
  <si>
    <t>Rue Scheutveld</t>
  </si>
  <si>
    <t>Rue Sylvain Denayer</t>
  </si>
  <si>
    <t>Rue Thiernesse</t>
  </si>
  <si>
    <t>Rue Verheyden</t>
  </si>
  <si>
    <t>Square Atlas</t>
  </si>
  <si>
    <t>Square des Vétérans Coloniaux</t>
  </si>
  <si>
    <t>Square Emile Vander Bruggen</t>
  </si>
  <si>
    <t>Square Henri Rey</t>
  </si>
  <si>
    <t>Allée de la Villa Romaine</t>
  </si>
  <si>
    <t>Avenue Auber</t>
  </si>
  <si>
    <t>Avenue Limbourg</t>
  </si>
  <si>
    <t>Avenue Victor et Jules Bertaux</t>
  </si>
  <si>
    <t>Avenue Victor Olivier</t>
  </si>
  <si>
    <t>Cours Saint-Guidon</t>
  </si>
  <si>
    <t>Parc Aurore</t>
  </si>
  <si>
    <t>Parc Biestebroeck</t>
  </si>
  <si>
    <t>Parc Central</t>
  </si>
  <si>
    <t>Parc du Busselenberg</t>
  </si>
  <si>
    <t>Place de la Résistance</t>
  </si>
  <si>
    <t>Place de la Vaillance</t>
  </si>
  <si>
    <t>Rond-point du Meir</t>
  </si>
  <si>
    <t>Rue Brune</t>
  </si>
  <si>
    <t>Rue de Formanoir</t>
  </si>
  <si>
    <t>Rue de la Conciliation</t>
  </si>
  <si>
    <t>Rue de la Démocratie</t>
  </si>
  <si>
    <t>Rue de la Gaîté</t>
  </si>
  <si>
    <t>Rue de l'Institut</t>
  </si>
  <si>
    <t>Rue des Déportés Anderlechtois</t>
  </si>
  <si>
    <t>Rue Docteur Jacobs</t>
  </si>
  <si>
    <t>Rue du Bronze</t>
  </si>
  <si>
    <t>Rue du Busselenberg</t>
  </si>
  <si>
    <t>Rue du Chapitre</t>
  </si>
  <si>
    <t>Rue du Drapeau</t>
  </si>
  <si>
    <t>Rue du Greffe</t>
  </si>
  <si>
    <t>Rue du Prétoire</t>
  </si>
  <si>
    <t>Rue du Village</t>
  </si>
  <si>
    <t>Rue Érasme</t>
  </si>
  <si>
    <t>Rue François Gérard</t>
  </si>
  <si>
    <t>Rue François Janssens</t>
  </si>
  <si>
    <t>Rue François Ysewyn</t>
  </si>
  <si>
    <t>Rue Gustaaf Vanden Berghe</t>
  </si>
  <si>
    <t>Rue Henri Vieuxtemps</t>
  </si>
  <si>
    <t>Rue Lieutenant Liedel</t>
  </si>
  <si>
    <t>Rue Maurice Xhoneux</t>
  </si>
  <si>
    <t>Rue Pierre Biddaer</t>
  </si>
  <si>
    <t>Rue Pierre Marchant</t>
  </si>
  <si>
    <t>Rue Professeur Hendrickx</t>
  </si>
  <si>
    <t>Rue Théodore Bekaert</t>
  </si>
  <si>
    <t>Rue Wayez</t>
  </si>
  <si>
    <t>Square Elsa Frison</t>
  </si>
  <si>
    <t>Boulevard Aristide Briand impair</t>
  </si>
  <si>
    <t xml:space="preserve">Vaillance </t>
  </si>
  <si>
    <t>Chaussée de Mons 453-859/384-810</t>
  </si>
  <si>
    <t>Place De Linde</t>
  </si>
  <si>
    <t>Rue du Chapelain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</si>
</sst>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charset val="1"/>
    </font>
    <font>
      <sz val="11"/>
      <color rgb="FFFFC000"/>
      <name val="Aptos"/>
      <charset val="1"/>
    </font>
    <font>
      <sz val="11"/>
      <name val="Calibri"/>
      <family val="2"/>
      <charset val="1"/>
    </font>
    <font>
      <u/>
      <sz val="11"/>
      <name val="Calibri"/>
      <family val="2"/>
      <charset val="1"/>
    </font>
    <font>
      <u/>
      <sz val="11"/>
      <name val="Aptos"/>
      <charset val="1"/>
    </font>
  </fonts>
  <fills count="2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CCFF"/>
        <bgColor rgb="FF66CCFF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4" fillId="0" borderId="0"/>
  </cellStyleXfs>
  <cellXfs count="118">
    <xf numFmtId="0" fontId="0" fillId="0" borderId="0" xfId="0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6" borderId="14" xfId="0" applyFill="1" applyBorder="1"/>
    <xf numFmtId="0" fontId="0" fillId="9" borderId="14" xfId="0" applyFill="1" applyBorder="1"/>
    <xf numFmtId="0" fontId="0" fillId="9" borderId="16" xfId="0" applyFill="1" applyBorder="1"/>
    <xf numFmtId="0" fontId="0" fillId="7" borderId="14" xfId="0" applyFill="1" applyBorder="1"/>
    <xf numFmtId="0" fontId="0" fillId="7" borderId="16" xfId="0" applyFill="1" applyBorder="1"/>
    <xf numFmtId="0" fontId="0" fillId="8" borderId="14" xfId="0" applyFill="1" applyBorder="1"/>
    <xf numFmtId="0" fontId="0" fillId="6" borderId="15" xfId="0" applyFill="1" applyBorder="1" applyAlignment="1">
      <alignment horizontal="center"/>
    </xf>
    <xf numFmtId="20" fontId="0" fillId="9" borderId="14" xfId="0" applyNumberFormat="1" applyFill="1" applyBorder="1"/>
    <xf numFmtId="0" fontId="7" fillId="2" borderId="13" xfId="0" applyFont="1" applyFill="1" applyBorder="1" applyAlignment="1">
      <alignment horizontal="center"/>
    </xf>
    <xf numFmtId="0" fontId="7" fillId="10" borderId="13" xfId="0" applyFont="1" applyFill="1" applyBorder="1" applyAlignment="1">
      <alignment horizontal="center"/>
    </xf>
    <xf numFmtId="0" fontId="3" fillId="16" borderId="11" xfId="0" applyFont="1" applyFill="1" applyBorder="1"/>
    <xf numFmtId="0" fontId="0" fillId="3" borderId="14" xfId="0" applyFill="1" applyBorder="1"/>
    <xf numFmtId="0" fontId="0" fillId="3" borderId="16" xfId="0" applyFill="1" applyBorder="1"/>
    <xf numFmtId="0" fontId="0" fillId="8" borderId="15" xfId="0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9" fontId="0" fillId="7" borderId="18" xfId="2" applyFont="1" applyFill="1" applyBorder="1" applyAlignment="1">
      <alignment horizontal="center"/>
    </xf>
    <xf numFmtId="9" fontId="0" fillId="7" borderId="10" xfId="2" applyFont="1" applyFill="1" applyBorder="1" applyAlignment="1">
      <alignment horizontal="center"/>
    </xf>
    <xf numFmtId="9" fontId="0" fillId="8" borderId="15" xfId="2" applyFont="1" applyFill="1" applyBorder="1" applyAlignment="1">
      <alignment horizontal="center"/>
    </xf>
    <xf numFmtId="9" fontId="3" fillId="16" borderId="13" xfId="2" applyFont="1" applyFill="1" applyBorder="1" applyAlignment="1">
      <alignment horizontal="center"/>
    </xf>
    <xf numFmtId="0" fontId="7" fillId="11" borderId="0" xfId="0" applyFont="1" applyFill="1"/>
    <xf numFmtId="0" fontId="0" fillId="3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14" borderId="14" xfId="0" applyFill="1" applyBorder="1"/>
    <xf numFmtId="0" fontId="0" fillId="14" borderId="15" xfId="0" applyFill="1" applyBorder="1" applyAlignment="1">
      <alignment horizontal="center"/>
    </xf>
    <xf numFmtId="9" fontId="0" fillId="14" borderId="15" xfId="2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7" fillId="13" borderId="13" xfId="0" applyFont="1" applyFill="1" applyBorder="1"/>
    <xf numFmtId="0" fontId="0" fillId="14" borderId="19" xfId="0" applyFill="1" applyBorder="1"/>
    <xf numFmtId="0" fontId="0" fillId="14" borderId="20" xfId="0" applyFill="1" applyBorder="1" applyAlignment="1">
      <alignment horizontal="center"/>
    </xf>
    <xf numFmtId="0" fontId="0" fillId="14" borderId="15" xfId="0" quotePrefix="1" applyFill="1" applyBorder="1" applyAlignment="1">
      <alignment horizontal="center"/>
    </xf>
    <xf numFmtId="0" fontId="11" fillId="20" borderId="1" xfId="0" applyFont="1" applyFill="1" applyBorder="1" applyAlignment="1">
      <alignment vertical="center"/>
    </xf>
    <xf numFmtId="0" fontId="13" fillId="0" borderId="1" xfId="0" applyFont="1" applyBorder="1"/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5" fillId="0" borderId="1" xfId="3" applyFont="1" applyBorder="1" applyAlignment="1" applyProtection="1">
      <alignment wrapText="1"/>
      <protection locked="0"/>
    </xf>
    <xf numFmtId="0" fontId="13" fillId="0" borderId="1" xfId="0" applyFont="1" applyBorder="1" applyAlignment="1">
      <alignment horizontal="left" vertical="top"/>
    </xf>
    <xf numFmtId="0" fontId="13" fillId="0" borderId="0" xfId="0" applyFont="1"/>
    <xf numFmtId="9" fontId="0" fillId="14" borderId="21" xfId="2" applyFont="1" applyFill="1" applyBorder="1" applyAlignment="1">
      <alignment horizontal="center"/>
    </xf>
    <xf numFmtId="9" fontId="3" fillId="16" borderId="1" xfId="2" applyFont="1" applyFill="1" applyBorder="1" applyAlignment="1">
      <alignment horizontal="center"/>
    </xf>
    <xf numFmtId="9" fontId="0" fillId="14" borderId="18" xfId="2" applyFont="1" applyFill="1" applyBorder="1" applyAlignment="1">
      <alignment horizontal="center"/>
    </xf>
    <xf numFmtId="9" fontId="0" fillId="9" borderId="18" xfId="0" applyNumberFormat="1" applyFill="1" applyBorder="1" applyAlignment="1">
      <alignment horizontal="center"/>
    </xf>
    <xf numFmtId="9" fontId="0" fillId="9" borderId="10" xfId="0" applyNumberFormat="1" applyFill="1" applyBorder="1" applyAlignment="1">
      <alignment horizontal="center"/>
    </xf>
    <xf numFmtId="9" fontId="0" fillId="6" borderId="15" xfId="2" applyFont="1" applyFill="1" applyBorder="1" applyAlignment="1">
      <alignment horizontal="center"/>
    </xf>
    <xf numFmtId="9" fontId="0" fillId="3" borderId="18" xfId="0" applyNumberFormat="1" applyFill="1" applyBorder="1" applyAlignment="1">
      <alignment horizontal="center"/>
    </xf>
    <xf numFmtId="9" fontId="0" fillId="3" borderId="10" xfId="0" applyNumberFormat="1" applyFill="1" applyBorder="1" applyAlignment="1">
      <alignment horizontal="center"/>
    </xf>
    <xf numFmtId="0" fontId="7" fillId="0" borderId="0" xfId="0" applyFont="1"/>
    <xf numFmtId="0" fontId="7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49" fontId="12" fillId="0" borderId="1" xfId="3" applyNumberFormat="1" applyFont="1" applyBorder="1" applyAlignment="1" applyProtection="1">
      <alignment vertical="center" wrapText="1"/>
      <protection locked="0"/>
    </xf>
    <xf numFmtId="49" fontId="15" fillId="0" borderId="1" xfId="3" applyNumberFormat="1" applyFont="1" applyBorder="1" applyAlignment="1" applyProtection="1">
      <alignment horizontal="left" vertical="center" wrapText="1"/>
      <protection locked="0"/>
    </xf>
    <xf numFmtId="0" fontId="15" fillId="0" borderId="1" xfId="0" applyFont="1" applyBorder="1"/>
    <xf numFmtId="0" fontId="3" fillId="16" borderId="13" xfId="0" quotePrefix="1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14" fontId="0" fillId="0" borderId="0" xfId="0" applyNumberFormat="1"/>
    <xf numFmtId="14" fontId="6" fillId="7" borderId="8" xfId="0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8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7" fillId="17" borderId="11" xfId="0" applyFont="1" applyFill="1" applyBorder="1" applyAlignment="1">
      <alignment horizontal="center"/>
    </xf>
    <xf numFmtId="0" fontId="7" fillId="17" borderId="13" xfId="0" applyFont="1" applyFill="1" applyBorder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7" fillId="13" borderId="13" xfId="0" applyFont="1" applyFill="1" applyBorder="1" applyAlignment="1">
      <alignment horizontal="center"/>
    </xf>
    <xf numFmtId="0" fontId="9" fillId="18" borderId="11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13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7" fillId="2" borderId="11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8" fillId="15" borderId="11" xfId="0" applyFont="1" applyFill="1" applyBorder="1" applyAlignment="1">
      <alignment horizontal="center"/>
    </xf>
    <xf numFmtId="0" fontId="8" fillId="15" borderId="12" xfId="0" applyFont="1" applyFill="1" applyBorder="1" applyAlignment="1">
      <alignment horizontal="center"/>
    </xf>
    <xf numFmtId="0" fontId="8" fillId="15" borderId="13" xfId="0" applyFont="1" applyFill="1" applyBorder="1" applyAlignment="1">
      <alignment horizontal="center"/>
    </xf>
    <xf numFmtId="0" fontId="10" fillId="19" borderId="11" xfId="0" applyFont="1" applyFill="1" applyBorder="1" applyAlignment="1">
      <alignment horizontal="center"/>
    </xf>
    <xf numFmtId="0" fontId="10" fillId="19" borderId="12" xfId="0" applyFont="1" applyFill="1" applyBorder="1" applyAlignment="1">
      <alignment horizontal="center"/>
    </xf>
    <xf numFmtId="0" fontId="10" fillId="19" borderId="13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/>
    </xf>
    <xf numFmtId="0" fontId="7" fillId="12" borderId="1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20" fillId="0" borderId="27" xfId="1" applyFont="1" applyBorder="1" applyAlignment="1">
      <alignment wrapText="1" readingOrder="1"/>
    </xf>
    <xf numFmtId="0" fontId="21" fillId="0" borderId="28" xfId="0" applyFont="1" applyBorder="1" applyAlignment="1">
      <alignment wrapText="1" readingOrder="1"/>
    </xf>
    <xf numFmtId="14" fontId="6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/>
  </cellXfs>
  <cellStyles count="4">
    <cellStyle name="Excel Built-in Normal" xfId="3" xr:uid="{E7F30756-29F5-4B49-AE1E-B0F9BBB6EF9E}"/>
    <cellStyle name="Hyperlink" xfId="1" xr:uid="{00000000-000B-0000-0000-000008000000}"/>
    <cellStyle name="Normal" xfId="0" builtinId="0"/>
    <cellStyle name="Pourcentage" xfId="2" builtinId="5"/>
  </cellStyles>
  <dxfs count="40">
    <dxf>
      <fill>
        <patternFill>
          <bgColor theme="1" tint="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-0.24994659260841701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243841</xdr:colOff>
      <xdr:row>0</xdr:row>
      <xdr:rowOff>3</xdr:rowOff>
    </xdr:from>
    <xdr:to>
      <xdr:col>3</xdr:col>
      <xdr:colOff>628650</xdr:colOff>
      <xdr:row>3</xdr:row>
      <xdr:rowOff>171604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1535C04-6090-4A33-A278-1BB831838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1" y="3"/>
          <a:ext cx="2756534" cy="9336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070anderlecht-my.sharepoint.com/personal/pcollard_anderlecht_brussels/Documents/Fichiers%20de%20conversation%20Microsoft%20Teams/Listing%20M&#233;diation%20locale%202025_Omar.xlsx" TargetMode="External"/><Relationship Id="rId1" Type="http://schemas.openxmlformats.org/officeDocument/2006/relationships/externalLinkPath" Target="https://1070anderlecht-my.sharepoint.com/personal/pcollard_anderlecht_brussels/Documents/Fichiers%20de%20conversation%20Microsoft%20Teams/Listing%20M&#233;diation%20locale%202025_Om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8eLri2u102imJOW7Q3hBHV_cIjB5ntLrt41XSsoRlniZ3vCq6XmQIpqAMun3DZ8" itemId="01BBVTAS5BVALPD3CVLJELGRY4KCVX7XFU">
      <xxl21:absoluteUrl r:id="rId2"/>
    </xxl21:alternateUrls>
    <sheetNames>
      <sheetName val="Liste usagers 2025"/>
      <sheetName val="Synthèse 2025"/>
      <sheetName val="Index"/>
    </sheetNames>
    <sheetDataSet>
      <sheetData sheetId="0"/>
      <sheetData sheetId="1"/>
      <sheetData sheetId="2">
        <row r="1">
          <cell r="C1" t="str">
            <v>ADRESSE</v>
          </cell>
          <cell r="D1" t="str">
            <v>SECTEUR</v>
          </cell>
        </row>
        <row r="2">
          <cell r="C2" t="str">
            <v>Rue Raymond van Der Bruggen CPAS</v>
          </cell>
          <cell r="D2" t="str">
            <v>Adresse de référence</v>
          </cell>
        </row>
        <row r="3">
          <cell r="C3" t="str">
            <v>Avenue Clemenceau</v>
          </cell>
          <cell r="D3" t="str">
            <v>Cureghem</v>
          </cell>
        </row>
        <row r="4">
          <cell r="C4" t="str">
            <v>Avenue Clémenceau</v>
          </cell>
          <cell r="D4" t="str">
            <v>Cureghem</v>
          </cell>
        </row>
        <row r="5">
          <cell r="C5" t="str">
            <v>Boulevard Poincaré</v>
          </cell>
          <cell r="D5" t="str">
            <v>Cureghem</v>
          </cell>
        </row>
        <row r="6">
          <cell r="C6" t="str">
            <v>Chaussée de Mons 1-153/2-154</v>
          </cell>
          <cell r="D6" t="str">
            <v>Cureghem</v>
          </cell>
        </row>
        <row r="7">
          <cell r="C7" t="str">
            <v>Clos de la Petite Senne</v>
          </cell>
          <cell r="D7" t="str">
            <v>Cureghem</v>
          </cell>
        </row>
        <row r="8">
          <cell r="C8" t="str">
            <v>Clos de l'Équerre</v>
          </cell>
          <cell r="D8" t="str">
            <v>Cureghem</v>
          </cell>
        </row>
        <row r="9">
          <cell r="C9" t="str">
            <v>Place Alphonse Lemmens</v>
          </cell>
          <cell r="D9" t="str">
            <v>Cureghem</v>
          </cell>
        </row>
        <row r="10">
          <cell r="C10" t="str">
            <v>Place Bara</v>
          </cell>
          <cell r="D10" t="str">
            <v>Cureghem</v>
          </cell>
        </row>
        <row r="11">
          <cell r="C11" t="str">
            <v>Rue Abbé Cuylits</v>
          </cell>
          <cell r="D11" t="str">
            <v>Cureghem</v>
          </cell>
        </row>
        <row r="12">
          <cell r="C12" t="str">
            <v>Rue Bissé</v>
          </cell>
          <cell r="D12" t="str">
            <v>Cureghem</v>
          </cell>
        </row>
        <row r="13">
          <cell r="C13" t="str">
            <v>Rue Brogniez</v>
          </cell>
          <cell r="D13" t="str">
            <v>Cureghem</v>
          </cell>
        </row>
        <row r="14">
          <cell r="C14" t="str">
            <v>Rue Broyère</v>
          </cell>
          <cell r="D14" t="str">
            <v>Cureghem</v>
          </cell>
        </row>
        <row r="15">
          <cell r="C15" t="str">
            <v>Rue de la Bougie</v>
          </cell>
          <cell r="D15" t="str">
            <v>Cureghem</v>
          </cell>
        </row>
        <row r="16">
          <cell r="C16" t="str">
            <v>Rue de la Clinique</v>
          </cell>
          <cell r="D16" t="str">
            <v>Cureghem</v>
          </cell>
        </row>
        <row r="17">
          <cell r="C17" t="str">
            <v>Rue de la Poterie</v>
          </cell>
          <cell r="D17" t="str">
            <v>Cureghem</v>
          </cell>
        </row>
        <row r="18">
          <cell r="C18" t="str">
            <v>Rue de la Rosée</v>
          </cell>
          <cell r="D18" t="str">
            <v>Cureghem</v>
          </cell>
        </row>
        <row r="19">
          <cell r="C19" t="str">
            <v>Rue de l'Autonomie</v>
          </cell>
          <cell r="D19" t="str">
            <v>Cureghem</v>
          </cell>
        </row>
        <row r="20">
          <cell r="C20" t="str">
            <v>Rue de Liverpool</v>
          </cell>
          <cell r="D20" t="str">
            <v>Cureghem</v>
          </cell>
        </row>
        <row r="21">
          <cell r="C21" t="str">
            <v>Rue des Matériaux</v>
          </cell>
          <cell r="D21" t="str">
            <v>Cureghem</v>
          </cell>
        </row>
        <row r="22">
          <cell r="C22" t="str">
            <v>Rue des Mégissiers</v>
          </cell>
          <cell r="D22" t="str">
            <v>Cureghem</v>
          </cell>
        </row>
        <row r="23">
          <cell r="C23" t="str">
            <v>Rue Docteur De Meersman</v>
          </cell>
          <cell r="D23" t="str">
            <v>Cureghem</v>
          </cell>
        </row>
        <row r="24">
          <cell r="C24" t="str">
            <v>Rue du Chimiste</v>
          </cell>
          <cell r="D24" t="str">
            <v>Cureghem</v>
          </cell>
        </row>
        <row r="25">
          <cell r="C25" t="str">
            <v>Rue du Compas</v>
          </cell>
          <cell r="D25" t="str">
            <v>Cureghem</v>
          </cell>
        </row>
        <row r="26">
          <cell r="C26" t="str">
            <v>Rue Foppens</v>
          </cell>
          <cell r="D26" t="str">
            <v>Cureghem</v>
          </cell>
        </row>
        <row r="27">
          <cell r="C27" t="str">
            <v>Rue Gheude</v>
          </cell>
          <cell r="D27" t="str">
            <v>Cureghem</v>
          </cell>
        </row>
        <row r="28">
          <cell r="C28" t="str">
            <v>Rue Haberman</v>
          </cell>
          <cell r="D28" t="str">
            <v>Cureghem</v>
          </cell>
        </row>
        <row r="29">
          <cell r="C29" t="str">
            <v>Rue Heyvaert</v>
          </cell>
          <cell r="D29" t="str">
            <v>Cureghem</v>
          </cell>
        </row>
        <row r="30">
          <cell r="C30" t="str">
            <v>Rue Jules Ruhl</v>
          </cell>
          <cell r="D30" t="str">
            <v>Cureghem</v>
          </cell>
        </row>
        <row r="31">
          <cell r="C31" t="str">
            <v>Rue Lambert Crickx</v>
          </cell>
          <cell r="D31" t="str">
            <v>Cureghem</v>
          </cell>
        </row>
        <row r="32">
          <cell r="C32" t="str">
            <v>Rue Léon Delacroix</v>
          </cell>
          <cell r="D32" t="str">
            <v>Cureghem</v>
          </cell>
        </row>
        <row r="33">
          <cell r="C33" t="str">
            <v>Rue Limnander</v>
          </cell>
          <cell r="D33" t="str">
            <v>Cureghem</v>
          </cell>
        </row>
        <row r="34">
          <cell r="C34" t="str">
            <v>Rue Memling</v>
          </cell>
          <cell r="D34" t="str">
            <v>Cureghem</v>
          </cell>
        </row>
        <row r="35">
          <cell r="C35" t="str">
            <v>Rue Moretus</v>
          </cell>
          <cell r="D35" t="str">
            <v>Cureghem</v>
          </cell>
        </row>
        <row r="36">
          <cell r="C36" t="str">
            <v>Rue Odon</v>
          </cell>
          <cell r="D36" t="str">
            <v>Cureghem</v>
          </cell>
        </row>
        <row r="37">
          <cell r="C37" t="str">
            <v>Rue Otlet</v>
          </cell>
          <cell r="D37" t="str">
            <v>Cureghem</v>
          </cell>
        </row>
        <row r="38">
          <cell r="C38" t="str">
            <v>Rue Plantin</v>
          </cell>
          <cell r="D38" t="str">
            <v>Cureghem</v>
          </cell>
        </row>
        <row r="39">
          <cell r="C39" t="str">
            <v>Rue Ropsy Chaudron</v>
          </cell>
          <cell r="D39" t="str">
            <v>Cureghem</v>
          </cell>
        </row>
        <row r="40">
          <cell r="C40" t="str">
            <v>Square de l'Aviation</v>
          </cell>
          <cell r="D40" t="str">
            <v>Cureghem</v>
          </cell>
        </row>
        <row r="41">
          <cell r="C41" t="str">
            <v>Square Robert Pequeur</v>
          </cell>
          <cell r="D41" t="str">
            <v>Cureghem</v>
          </cell>
        </row>
        <row r="42">
          <cell r="C42" t="str">
            <v>Rue de France</v>
          </cell>
          <cell r="D42" t="str">
            <v>Cureghem</v>
          </cell>
        </row>
        <row r="43">
          <cell r="C43" t="str">
            <v>Rue de l'Ancienne Gare</v>
          </cell>
          <cell r="D43" t="str">
            <v>Cureghem</v>
          </cell>
        </row>
        <row r="44">
          <cell r="C44" t="str">
            <v>Allée de Flins</v>
          </cell>
          <cell r="D44" t="str">
            <v>Cureghem</v>
          </cell>
        </row>
        <row r="45">
          <cell r="C45" t="str">
            <v>Avenue de la Brasserie</v>
          </cell>
          <cell r="D45" t="str">
            <v>Cureghem</v>
          </cell>
        </row>
        <row r="46">
          <cell r="C46" t="str">
            <v>Boulevard de la Révision</v>
          </cell>
          <cell r="D46" t="str">
            <v>Cureghem</v>
          </cell>
        </row>
        <row r="47">
          <cell r="C47" t="str">
            <v>Chaussée de Mons 155-451/156-382</v>
          </cell>
          <cell r="D47" t="str">
            <v>Cureghem</v>
          </cell>
        </row>
        <row r="48">
          <cell r="C48" t="str">
            <v>Clos Mudra</v>
          </cell>
          <cell r="D48" t="str">
            <v>Cureghem</v>
          </cell>
        </row>
        <row r="49">
          <cell r="C49" t="str">
            <v>Parc Crickx</v>
          </cell>
          <cell r="D49" t="str">
            <v>Cureghem</v>
          </cell>
        </row>
        <row r="50">
          <cell r="C50" t="str">
            <v>Place du Conseil</v>
          </cell>
          <cell r="D50" t="str">
            <v>Cureghem</v>
          </cell>
        </row>
        <row r="51">
          <cell r="C51" t="str">
            <v>Place Grisar</v>
          </cell>
          <cell r="D51" t="str">
            <v>Cureghem</v>
          </cell>
        </row>
        <row r="52">
          <cell r="C52" t="str">
            <v>Place Jorez</v>
          </cell>
          <cell r="D52" t="str">
            <v>Cureghem</v>
          </cell>
        </row>
        <row r="53">
          <cell r="C53" t="str">
            <v>Rue Auguste Gevaert</v>
          </cell>
          <cell r="D53" t="str">
            <v>Cureghem</v>
          </cell>
        </row>
        <row r="54">
          <cell r="C54" t="str">
            <v>Rue Bara</v>
          </cell>
          <cell r="D54" t="str">
            <v>Cureghem</v>
          </cell>
        </row>
        <row r="55">
          <cell r="C55" t="str">
            <v>Rue Charles Parenté</v>
          </cell>
          <cell r="D55" t="str">
            <v>Cureghem</v>
          </cell>
        </row>
        <row r="56">
          <cell r="C56" t="str">
            <v>Rue Chomé-Wyns</v>
          </cell>
          <cell r="D56" t="str">
            <v>Cureghem</v>
          </cell>
        </row>
        <row r="57">
          <cell r="C57" t="str">
            <v>Rue de Fiennes</v>
          </cell>
          <cell r="D57" t="str">
            <v>Cureghem</v>
          </cell>
        </row>
        <row r="58">
          <cell r="C58" t="str">
            <v>Rue de l'Ecole Moderne</v>
          </cell>
          <cell r="D58" t="str">
            <v>Cureghem</v>
          </cell>
        </row>
        <row r="59">
          <cell r="C59" t="str">
            <v>Rue de l'Electricité</v>
          </cell>
          <cell r="D59" t="str">
            <v>Cureghem</v>
          </cell>
        </row>
        <row r="60">
          <cell r="C60" t="str">
            <v>Rue de l'Instruction</v>
          </cell>
          <cell r="D60" t="str">
            <v>Cureghem</v>
          </cell>
        </row>
        <row r="61">
          <cell r="C61" t="str">
            <v>Rue des Bassins</v>
          </cell>
          <cell r="D61" t="str">
            <v>Cureghem</v>
          </cell>
        </row>
        <row r="62">
          <cell r="C62" t="str">
            <v>Rue des Deux Gares</v>
          </cell>
          <cell r="D62" t="str">
            <v>Cureghem</v>
          </cell>
        </row>
        <row r="63">
          <cell r="C63" t="str">
            <v>Rue des Goujons</v>
          </cell>
          <cell r="D63" t="str">
            <v>Cureghem</v>
          </cell>
        </row>
        <row r="64">
          <cell r="C64" t="str">
            <v>Rue des Marchandises</v>
          </cell>
          <cell r="D64" t="str">
            <v>Cureghem</v>
          </cell>
        </row>
        <row r="65">
          <cell r="C65" t="str">
            <v>Rue des Vétérinaires</v>
          </cell>
          <cell r="D65" t="str">
            <v>Cureghem</v>
          </cell>
        </row>
        <row r="66">
          <cell r="C66" t="str">
            <v>Rue Docteur Kuborn</v>
          </cell>
          <cell r="D66" t="str">
            <v>Cureghem</v>
          </cell>
        </row>
        <row r="67">
          <cell r="C67" t="str">
            <v>Rue du Chapeau</v>
          </cell>
          <cell r="D67" t="str">
            <v>Cureghem</v>
          </cell>
        </row>
        <row r="68">
          <cell r="C68" t="str">
            <v>Rue du Collecteur</v>
          </cell>
          <cell r="D68" t="str">
            <v>Cureghem</v>
          </cell>
        </row>
        <row r="69">
          <cell r="C69" t="str">
            <v>Rue du Constructeur</v>
          </cell>
          <cell r="D69" t="str">
            <v>Cureghem</v>
          </cell>
        </row>
        <row r="70">
          <cell r="C70" t="str">
            <v>Rue du Transvaal</v>
          </cell>
          <cell r="D70" t="str">
            <v>Cureghem</v>
          </cell>
        </row>
        <row r="71">
          <cell r="C71" t="str">
            <v>Rue École Moderne</v>
          </cell>
          <cell r="D71" t="str">
            <v>Cureghem</v>
          </cell>
        </row>
        <row r="72">
          <cell r="C72" t="str">
            <v>Rue Eloy</v>
          </cell>
          <cell r="D72" t="str">
            <v>Cureghem</v>
          </cell>
        </row>
        <row r="73">
          <cell r="C73" t="str">
            <v>Rue Emile Carpentier</v>
          </cell>
          <cell r="D73" t="str">
            <v>Cureghem</v>
          </cell>
        </row>
        <row r="74">
          <cell r="C74" t="str">
            <v>Rue Ernest Blerot</v>
          </cell>
          <cell r="D74" t="str">
            <v>Cureghem</v>
          </cell>
        </row>
        <row r="75">
          <cell r="C75" t="str">
            <v>Rue Georges Moreau</v>
          </cell>
          <cell r="D75" t="str">
            <v>Cureghem</v>
          </cell>
        </row>
        <row r="76">
          <cell r="C76" t="str">
            <v>Rue Grisar</v>
          </cell>
          <cell r="D76" t="str">
            <v>Cureghem</v>
          </cell>
        </row>
        <row r="77">
          <cell r="C77" t="str">
            <v>Rue Jorez</v>
          </cell>
          <cell r="D77" t="str">
            <v>Cureghem</v>
          </cell>
        </row>
        <row r="78">
          <cell r="C78" t="str">
            <v>Rue Joseph Dujardin</v>
          </cell>
          <cell r="D78" t="str">
            <v>Cureghem</v>
          </cell>
        </row>
        <row r="79">
          <cell r="C79" t="str">
            <v>Rue Pasteur</v>
          </cell>
          <cell r="D79" t="str">
            <v>Cureghem</v>
          </cell>
        </row>
        <row r="80">
          <cell r="C80" t="str">
            <v>Rue Prévinaire</v>
          </cell>
          <cell r="D80" t="str">
            <v>Cureghem</v>
          </cell>
        </row>
        <row r="81">
          <cell r="C81" t="str">
            <v>Rue Raphaël</v>
          </cell>
          <cell r="D81" t="str">
            <v>Cureghem</v>
          </cell>
        </row>
        <row r="82">
          <cell r="C82" t="str">
            <v>Rue Robert Bosch</v>
          </cell>
          <cell r="D82" t="str">
            <v>Cureghem</v>
          </cell>
        </row>
        <row r="83">
          <cell r="C83" t="str">
            <v>Rue Rossini</v>
          </cell>
          <cell r="D83" t="str">
            <v>Cureghem</v>
          </cell>
        </row>
        <row r="84">
          <cell r="C84" t="str">
            <v>Rue Ruysdael</v>
          </cell>
          <cell r="D84" t="str">
            <v>Cureghem</v>
          </cell>
        </row>
        <row r="85">
          <cell r="C85" t="str">
            <v>Rue Sergent De Bruyne</v>
          </cell>
          <cell r="D85" t="str">
            <v>Cureghem</v>
          </cell>
        </row>
        <row r="86">
          <cell r="C86" t="str">
            <v>Rue Van Lint</v>
          </cell>
          <cell r="D86" t="str">
            <v>Cureghem</v>
          </cell>
        </row>
        <row r="87">
          <cell r="C87" t="str">
            <v>Square Albert 1er</v>
          </cell>
          <cell r="D87" t="str">
            <v>Cureghem</v>
          </cell>
        </row>
        <row r="88">
          <cell r="C88" t="str">
            <v>Square Jules et Edmond Miesse</v>
          </cell>
          <cell r="D88" t="str">
            <v>Cureghem</v>
          </cell>
        </row>
        <row r="89">
          <cell r="C89" t="str">
            <v>Hof ter Biest</v>
          </cell>
          <cell r="D89" t="str">
            <v>Industrie</v>
          </cell>
        </row>
        <row r="90">
          <cell r="C90" t="str">
            <v>Petite Rue du Cerf</v>
          </cell>
          <cell r="D90" t="str">
            <v>Industrie</v>
          </cell>
        </row>
        <row r="91">
          <cell r="C91" t="str">
            <v>Rue Bollinckx</v>
          </cell>
          <cell r="D91" t="str">
            <v>Industrie</v>
          </cell>
        </row>
        <row r="92">
          <cell r="C92" t="str">
            <v>Rue d'Aa</v>
          </cell>
          <cell r="D92" t="str">
            <v>Industrie</v>
          </cell>
        </row>
        <row r="93">
          <cell r="C93" t="str">
            <v>Rue Dante</v>
          </cell>
          <cell r="D93" t="str">
            <v>Industrie</v>
          </cell>
        </row>
        <row r="94">
          <cell r="C94" t="str">
            <v>Rue de Biestebroeck</v>
          </cell>
          <cell r="D94" t="str">
            <v>Industrie</v>
          </cell>
        </row>
        <row r="95">
          <cell r="C95" t="str">
            <v>Rue de la Bienvenue</v>
          </cell>
          <cell r="D95" t="str">
            <v>Industrie</v>
          </cell>
        </row>
        <row r="96">
          <cell r="C96" t="str">
            <v>Rue de la Filature</v>
          </cell>
          <cell r="D96" t="str">
            <v>Industrie</v>
          </cell>
        </row>
        <row r="97">
          <cell r="C97" t="str">
            <v>Rue de la Manufacture</v>
          </cell>
          <cell r="D97" t="str">
            <v>Industrie</v>
          </cell>
        </row>
        <row r="98">
          <cell r="C98" t="str">
            <v>Rue du Labeur</v>
          </cell>
          <cell r="D98" t="str">
            <v>Industrie</v>
          </cell>
        </row>
        <row r="99">
          <cell r="C99" t="str">
            <v>Rue du Nieuwmolen</v>
          </cell>
          <cell r="D99" t="str">
            <v>Industrie</v>
          </cell>
        </row>
        <row r="100">
          <cell r="C100" t="str">
            <v>Rue du Sel</v>
          </cell>
          <cell r="D100" t="str">
            <v>Industrie</v>
          </cell>
        </row>
        <row r="101">
          <cell r="C101" t="str">
            <v>Rue Henri-Joseph Genesse</v>
          </cell>
          <cell r="D101" t="str">
            <v>Industrie</v>
          </cell>
        </row>
        <row r="102">
          <cell r="C102" t="str">
            <v>Rue Paepsem</v>
          </cell>
          <cell r="D102" t="str">
            <v>Industrie</v>
          </cell>
        </row>
        <row r="103">
          <cell r="C103" t="str">
            <v>Rue Poxcat</v>
          </cell>
          <cell r="D103" t="str">
            <v>Industrie</v>
          </cell>
        </row>
        <row r="104">
          <cell r="C104" t="str">
            <v>Boulevard de l'Humanité</v>
          </cell>
          <cell r="D104" t="str">
            <v xml:space="preserve">Industrie </v>
          </cell>
        </row>
        <row r="105">
          <cell r="C105" t="str">
            <v>Boulevard Paepsem</v>
          </cell>
          <cell r="D105" t="str">
            <v xml:space="preserve">Industrie </v>
          </cell>
        </row>
        <row r="106">
          <cell r="C106" t="str">
            <v>Digue du Canal</v>
          </cell>
          <cell r="D106" t="str">
            <v xml:space="preserve">Industrie </v>
          </cell>
        </row>
        <row r="107">
          <cell r="C107" t="str">
            <v>Quai d'Aa</v>
          </cell>
          <cell r="D107" t="str">
            <v xml:space="preserve">Industrie </v>
          </cell>
        </row>
        <row r="108">
          <cell r="C108" t="str">
            <v>Rue du Cerf</v>
          </cell>
          <cell r="D108" t="str">
            <v xml:space="preserve">Industrie </v>
          </cell>
        </row>
        <row r="109">
          <cell r="C109" t="str">
            <v>Rue du Charroi</v>
          </cell>
          <cell r="D109" t="str">
            <v xml:space="preserve">Industrie </v>
          </cell>
        </row>
        <row r="110">
          <cell r="C110" t="str">
            <v>Rue Gouverneur Nens</v>
          </cell>
          <cell r="D110" t="str">
            <v xml:space="preserve">Industrie </v>
          </cell>
        </row>
        <row r="111">
          <cell r="C111" t="str">
            <v>Square Emile Vandervelde</v>
          </cell>
          <cell r="D111" t="str">
            <v xml:space="preserve">Industrie </v>
          </cell>
        </row>
        <row r="112">
          <cell r="C112" t="str">
            <v>Allée des Orpins</v>
          </cell>
          <cell r="D112" t="str">
            <v>La Roue</v>
          </cell>
        </row>
        <row r="113">
          <cell r="C113" t="str">
            <v>Avenue des Cardamines</v>
          </cell>
          <cell r="D113" t="str">
            <v>La Roue</v>
          </cell>
        </row>
        <row r="114">
          <cell r="C114" t="str">
            <v>Avenue des Dauphinelles</v>
          </cell>
          <cell r="D114" t="str">
            <v>La Roue</v>
          </cell>
        </row>
        <row r="115">
          <cell r="C115" t="str">
            <v>Avenue des Edelweiss</v>
          </cell>
          <cell r="D115" t="str">
            <v>La Roue</v>
          </cell>
        </row>
        <row r="116">
          <cell r="C116" t="str">
            <v>Avenue des Immortelles</v>
          </cell>
          <cell r="D116" t="str">
            <v>La Roue</v>
          </cell>
        </row>
        <row r="117">
          <cell r="C117" t="str">
            <v>Avenue des Millepertuis</v>
          </cell>
          <cell r="D117" t="str">
            <v>La Roue</v>
          </cell>
        </row>
        <row r="118">
          <cell r="C118" t="str">
            <v>Avenue des Pimprenelles</v>
          </cell>
          <cell r="D118" t="str">
            <v>La Roue</v>
          </cell>
        </row>
        <row r="119">
          <cell r="C119" t="str">
            <v>Avenue des Stellaires</v>
          </cell>
          <cell r="D119" t="str">
            <v>La Roue</v>
          </cell>
        </row>
        <row r="120">
          <cell r="C120" t="str">
            <v>Avenue du Soldat Britannique</v>
          </cell>
          <cell r="D120" t="str">
            <v>La Roue</v>
          </cell>
        </row>
        <row r="121">
          <cell r="C121" t="str">
            <v>Avenue Michel de Ghelderode</v>
          </cell>
          <cell r="D121" t="str">
            <v>La Roue</v>
          </cell>
        </row>
        <row r="122">
          <cell r="C122" t="str">
            <v>Chaussée de Mons 1425-1447</v>
          </cell>
          <cell r="D122" t="str">
            <v>La Roue</v>
          </cell>
        </row>
        <row r="123">
          <cell r="C123" t="str">
            <v>Clos des Asters</v>
          </cell>
          <cell r="D123" t="str">
            <v>La Roue</v>
          </cell>
        </row>
        <row r="124">
          <cell r="C124" t="str">
            <v>Clos des Marguerites</v>
          </cell>
          <cell r="D124" t="str">
            <v>La Roue</v>
          </cell>
        </row>
        <row r="125">
          <cell r="C125" t="str">
            <v>Clos des Saponaires</v>
          </cell>
          <cell r="D125" t="str">
            <v>La Roue</v>
          </cell>
        </row>
        <row r="126">
          <cell r="C126" t="str">
            <v>Clos des Soldanelles</v>
          </cell>
          <cell r="D126" t="str">
            <v>La Roue</v>
          </cell>
        </row>
        <row r="127">
          <cell r="C127" t="str">
            <v>Parc Michel de Ghelderode</v>
          </cell>
          <cell r="D127" t="str">
            <v>La Roue</v>
          </cell>
        </row>
        <row r="128">
          <cell r="C128" t="str">
            <v>Rue Chant d'Oiseaux</v>
          </cell>
          <cell r="D128" t="str">
            <v>La Roue</v>
          </cell>
        </row>
        <row r="129">
          <cell r="C129" t="str">
            <v>Square des Linaigrettes</v>
          </cell>
          <cell r="D129" t="str">
            <v>La Roue</v>
          </cell>
        </row>
        <row r="130">
          <cell r="C130" t="str">
            <v>Allée Paul Ooghe</v>
          </cell>
          <cell r="D130" t="str">
            <v>La Roue</v>
          </cell>
        </row>
        <row r="131">
          <cell r="C131" t="str">
            <v>Avenue de la Persévérance</v>
          </cell>
          <cell r="D131" t="str">
            <v>La Roue</v>
          </cell>
        </row>
        <row r="132">
          <cell r="C132" t="str">
            <v>Avenue de la Société Nationale</v>
          </cell>
          <cell r="D132" t="str">
            <v>La Roue</v>
          </cell>
        </row>
        <row r="133">
          <cell r="C133" t="str">
            <v>Avenue de Saïo</v>
          </cell>
          <cell r="D133" t="str">
            <v>La Roue</v>
          </cell>
        </row>
        <row r="134">
          <cell r="C134" t="str">
            <v>Avenue des Droits de l'Homme</v>
          </cell>
          <cell r="D134" t="str">
            <v>La Roue</v>
          </cell>
        </row>
        <row r="135">
          <cell r="C135" t="str">
            <v>Avenue Emile Gryson</v>
          </cell>
          <cell r="D135" t="str">
            <v>La Roue</v>
          </cell>
        </row>
        <row r="136">
          <cell r="C136" t="str">
            <v>Avenue Eugène Baie</v>
          </cell>
          <cell r="D136" t="str">
            <v>La Roue</v>
          </cell>
        </row>
        <row r="137">
          <cell r="C137" t="str">
            <v>Avenue Guillaume Melckmans</v>
          </cell>
          <cell r="D137" t="str">
            <v>La Roue</v>
          </cell>
        </row>
        <row r="138">
          <cell r="C138" t="str">
            <v>Avenue Guillaume Stassart</v>
          </cell>
          <cell r="D138" t="str">
            <v>La Roue</v>
          </cell>
        </row>
        <row r="139">
          <cell r="C139" t="str">
            <v>Avenue Marc Henri Van Laer</v>
          </cell>
          <cell r="D139" t="str">
            <v>La Roue</v>
          </cell>
        </row>
        <row r="140">
          <cell r="C140" t="str">
            <v>Avenue Simone Veil</v>
          </cell>
          <cell r="D140" t="str">
            <v>La Roue</v>
          </cell>
        </row>
        <row r="141">
          <cell r="C141" t="str">
            <v>Avenue Venizelos</v>
          </cell>
          <cell r="D141" t="str">
            <v>La Roue</v>
          </cell>
        </row>
        <row r="142">
          <cell r="C142" t="str">
            <v>Avenue Waxweiler</v>
          </cell>
          <cell r="D142" t="str">
            <v>La Roue</v>
          </cell>
        </row>
        <row r="143">
          <cell r="C143" t="str">
            <v xml:space="preserve">Boulevard Aristide Briand pair </v>
          </cell>
          <cell r="D143" t="str">
            <v>La Roue</v>
          </cell>
        </row>
        <row r="144">
          <cell r="C144" t="str">
            <v>Chaussée de Mons 861-1293/812-1440</v>
          </cell>
          <cell r="D144" t="str">
            <v>La Roue</v>
          </cell>
        </row>
        <row r="145">
          <cell r="C145" t="str">
            <v>Clos des Etangs</v>
          </cell>
          <cell r="D145" t="str">
            <v>La Roue</v>
          </cell>
        </row>
        <row r="146">
          <cell r="C146" t="str">
            <v>Clos Marie Koré</v>
          </cell>
          <cell r="D146" t="str">
            <v>La Roue</v>
          </cell>
        </row>
        <row r="147">
          <cell r="C147" t="str">
            <v>Parc des Colombophiles</v>
          </cell>
          <cell r="D147" t="str">
            <v>La Roue</v>
          </cell>
        </row>
        <row r="148">
          <cell r="C148" t="str">
            <v>Parc Résédas</v>
          </cell>
          <cell r="D148" t="str">
            <v>La Roue</v>
          </cell>
        </row>
        <row r="149">
          <cell r="C149" t="str">
            <v>Parc Stadium</v>
          </cell>
          <cell r="D149" t="str">
            <v>La Roue</v>
          </cell>
        </row>
        <row r="150">
          <cell r="C150" t="str">
            <v>Petite Rue des Loups</v>
          </cell>
          <cell r="D150" t="str">
            <v>La Roue</v>
          </cell>
        </row>
        <row r="151">
          <cell r="C151" t="str">
            <v>Petite Rue du Moulin</v>
          </cell>
          <cell r="D151" t="str">
            <v>La Roue</v>
          </cell>
        </row>
        <row r="152">
          <cell r="C152" t="str">
            <v>Place Bizet</v>
          </cell>
          <cell r="D152" t="str">
            <v>La Roue</v>
          </cell>
        </row>
        <row r="153">
          <cell r="C153" t="str">
            <v>Place de la Roue</v>
          </cell>
          <cell r="D153" t="str">
            <v>La Roue</v>
          </cell>
        </row>
        <row r="154">
          <cell r="C154" t="str">
            <v>Place du Confort</v>
          </cell>
          <cell r="D154" t="str">
            <v>La Roue</v>
          </cell>
        </row>
        <row r="155">
          <cell r="C155" t="str">
            <v>Place Ernest S'Jonghers</v>
          </cell>
          <cell r="D155" t="str">
            <v>La Roue</v>
          </cell>
        </row>
        <row r="156">
          <cell r="C156" t="str">
            <v>Place Ministre Wauters</v>
          </cell>
          <cell r="D156" t="str">
            <v>La Roue</v>
          </cell>
        </row>
        <row r="157">
          <cell r="C157" t="str">
            <v>Plaine des Loisirs</v>
          </cell>
          <cell r="D157" t="str">
            <v>La Roue</v>
          </cell>
        </row>
        <row r="158">
          <cell r="C158" t="str">
            <v>Quai de Veeweyde</v>
          </cell>
          <cell r="D158" t="str">
            <v>La Roue</v>
          </cell>
        </row>
        <row r="159">
          <cell r="C159" t="str">
            <v>Route de Lennik</v>
          </cell>
          <cell r="D159" t="str">
            <v>La Roue</v>
          </cell>
        </row>
        <row r="160">
          <cell r="C160" t="str">
            <v>Rue Alexandre Pierrard</v>
          </cell>
          <cell r="D160" t="str">
            <v>La Roue</v>
          </cell>
        </row>
        <row r="161">
          <cell r="C161" t="str">
            <v>Rue Arthur Dehem</v>
          </cell>
          <cell r="D161" t="str">
            <v>La Roue</v>
          </cell>
        </row>
        <row r="162">
          <cell r="C162" t="str">
            <v>Rue Claude Debussy</v>
          </cell>
          <cell r="D162" t="str">
            <v>La Roue</v>
          </cell>
        </row>
        <row r="163">
          <cell r="C163" t="str">
            <v>Rue Clément De Cléty</v>
          </cell>
          <cell r="D163" t="str">
            <v>La Roue</v>
          </cell>
        </row>
        <row r="164">
          <cell r="C164" t="str">
            <v>Rue Daniel Van Damme</v>
          </cell>
          <cell r="D164" t="str">
            <v>La Roue</v>
          </cell>
        </row>
        <row r="165">
          <cell r="C165" t="str">
            <v>Rue de Béthanie</v>
          </cell>
          <cell r="D165" t="str">
            <v>La Roue</v>
          </cell>
        </row>
        <row r="166">
          <cell r="C166" t="str">
            <v>Rue de la Mécanique</v>
          </cell>
          <cell r="D166" t="str">
            <v>La Roue</v>
          </cell>
        </row>
        <row r="167">
          <cell r="C167" t="str">
            <v>Rue de la Promenade</v>
          </cell>
          <cell r="D167" t="str">
            <v>La Roue</v>
          </cell>
        </row>
        <row r="168">
          <cell r="C168" t="str">
            <v>Rue de la Solidarité</v>
          </cell>
          <cell r="D168" t="str">
            <v>La Roue</v>
          </cell>
        </row>
        <row r="169">
          <cell r="C169" t="str">
            <v>Rue de la Sympathie</v>
          </cell>
          <cell r="D169" t="str">
            <v>La Roue</v>
          </cell>
        </row>
        <row r="170">
          <cell r="C170" t="str">
            <v>Rue de la Tranquilité</v>
          </cell>
          <cell r="D170" t="str">
            <v>La Roue</v>
          </cell>
        </row>
        <row r="171">
          <cell r="C171" t="str">
            <v>Rue de la Volonté</v>
          </cell>
          <cell r="D171" t="str">
            <v>La Roue</v>
          </cell>
        </row>
        <row r="172">
          <cell r="C172" t="str">
            <v>Rue de l'Architecture</v>
          </cell>
          <cell r="D172" t="str">
            <v>La Roue</v>
          </cell>
        </row>
        <row r="173">
          <cell r="C173" t="str">
            <v>Rue de l'Emancipation</v>
          </cell>
          <cell r="D173" t="str">
            <v>La Roue</v>
          </cell>
        </row>
        <row r="174">
          <cell r="C174" t="str">
            <v>Rue de l'Energie</v>
          </cell>
          <cell r="D174" t="str">
            <v>La Roue</v>
          </cell>
        </row>
        <row r="175">
          <cell r="C175" t="str">
            <v>Rue de Zuen</v>
          </cell>
          <cell r="D175" t="str">
            <v>La Roue</v>
          </cell>
        </row>
        <row r="176">
          <cell r="C176" t="str">
            <v>Rue Delwart</v>
          </cell>
          <cell r="D176" t="str">
            <v>La Roue</v>
          </cell>
        </row>
        <row r="177">
          <cell r="C177" t="str">
            <v>Rue des Alouettes</v>
          </cell>
          <cell r="D177" t="str">
            <v>La Roue</v>
          </cell>
        </row>
        <row r="178">
          <cell r="C178" t="str">
            <v>Rue des Bateliers</v>
          </cell>
          <cell r="D178" t="str">
            <v>La Roue</v>
          </cell>
        </row>
        <row r="179">
          <cell r="C179" t="str">
            <v>Rue des Citoyens</v>
          </cell>
          <cell r="D179" t="str">
            <v>La Roue</v>
          </cell>
        </row>
        <row r="180">
          <cell r="C180" t="str">
            <v>Rue des Colombophiles</v>
          </cell>
          <cell r="D180" t="str">
            <v>La Roue</v>
          </cell>
        </row>
        <row r="181">
          <cell r="C181" t="str">
            <v>Rue des Fraises</v>
          </cell>
          <cell r="D181" t="str">
            <v>La Roue</v>
          </cell>
        </row>
        <row r="182">
          <cell r="C182" t="str">
            <v>Rue des Grives</v>
          </cell>
          <cell r="D182" t="str">
            <v>La Roue</v>
          </cell>
        </row>
        <row r="183">
          <cell r="C183" t="str">
            <v>Rue des Huit Heures</v>
          </cell>
          <cell r="D183" t="str">
            <v>La Roue</v>
          </cell>
        </row>
        <row r="184">
          <cell r="C184" t="str">
            <v>Rue des Loups</v>
          </cell>
          <cell r="D184" t="str">
            <v>La Roue</v>
          </cell>
        </row>
        <row r="185">
          <cell r="C185" t="str">
            <v>Rue des Plébéiens</v>
          </cell>
          <cell r="D185" t="str">
            <v>La Roue</v>
          </cell>
        </row>
        <row r="186">
          <cell r="C186" t="str">
            <v>Rue des Résédas</v>
          </cell>
          <cell r="D186" t="str">
            <v>La Roue</v>
          </cell>
        </row>
        <row r="187">
          <cell r="C187" t="str">
            <v>Rue des Trèfles</v>
          </cell>
          <cell r="D187" t="str">
            <v>La Roue</v>
          </cell>
        </row>
        <row r="188">
          <cell r="C188" t="str">
            <v>Rue Docteur Roux</v>
          </cell>
          <cell r="D188" t="str">
            <v>La Roue</v>
          </cell>
        </row>
        <row r="189">
          <cell r="C189" t="str">
            <v>Rue du Bouquet</v>
          </cell>
          <cell r="D189" t="str">
            <v>La Roue</v>
          </cell>
        </row>
        <row r="190">
          <cell r="C190" t="str">
            <v>Rue du Pré</v>
          </cell>
          <cell r="D190" t="str">
            <v>La Roue</v>
          </cell>
        </row>
        <row r="191">
          <cell r="C191" t="str">
            <v>Rue du Savoir</v>
          </cell>
          <cell r="D191" t="str">
            <v>La Roue</v>
          </cell>
        </row>
        <row r="192">
          <cell r="C192" t="str">
            <v>Rue du Symbole</v>
          </cell>
          <cell r="D192" t="str">
            <v>La Roue</v>
          </cell>
        </row>
        <row r="193">
          <cell r="C193" t="str">
            <v>Rue Félicien Rops</v>
          </cell>
          <cell r="D193" t="str">
            <v>La Roue</v>
          </cell>
        </row>
        <row r="194">
          <cell r="C194" t="str">
            <v>Rue Félix De Cuyper</v>
          </cell>
          <cell r="D194" t="str">
            <v>La Roue</v>
          </cell>
        </row>
        <row r="195">
          <cell r="C195" t="str">
            <v>Rue Florimond De Pauw</v>
          </cell>
          <cell r="D195" t="str">
            <v>La Roue</v>
          </cell>
        </row>
        <row r="196">
          <cell r="C196" t="str">
            <v>Rue Frans Hals</v>
          </cell>
          <cell r="D196" t="str">
            <v>La Roue</v>
          </cell>
        </row>
        <row r="197">
          <cell r="C197" t="str">
            <v>Rue Fridtjof Nansen</v>
          </cell>
          <cell r="D197" t="str">
            <v>La Roue</v>
          </cell>
        </row>
        <row r="198">
          <cell r="C198" t="str">
            <v>Rue Hector Genard</v>
          </cell>
          <cell r="D198" t="str">
            <v>La Roue</v>
          </cell>
        </row>
        <row r="199">
          <cell r="C199" t="str">
            <v>Rue Henri Deleers</v>
          </cell>
          <cell r="D199" t="str">
            <v>La Roue</v>
          </cell>
        </row>
        <row r="200">
          <cell r="C200" t="str">
            <v>Rue Hoorickx</v>
          </cell>
          <cell r="D200" t="str">
            <v>La Roue</v>
          </cell>
        </row>
        <row r="201">
          <cell r="C201" t="str">
            <v>Rue Huit Heures</v>
          </cell>
          <cell r="D201" t="str">
            <v>La Roue</v>
          </cell>
        </row>
        <row r="202">
          <cell r="C202" t="str">
            <v>Rue Jacques Boon</v>
          </cell>
          <cell r="D202" t="str">
            <v>La Roue</v>
          </cell>
        </row>
        <row r="203">
          <cell r="C203" t="str">
            <v>Rue James Cook</v>
          </cell>
          <cell r="D203" t="str">
            <v>La Roue</v>
          </cell>
        </row>
        <row r="204">
          <cell r="C204" t="str">
            <v>Rue Jean Noté</v>
          </cell>
          <cell r="D204" t="str">
            <v>La Roue</v>
          </cell>
        </row>
        <row r="205">
          <cell r="C205" t="str">
            <v>Rue Pierre Schlosser</v>
          </cell>
          <cell r="D205" t="str">
            <v>La Roue</v>
          </cell>
        </row>
        <row r="206">
          <cell r="C206" t="str">
            <v>Rue Raymond Ebrant</v>
          </cell>
          <cell r="D206" t="str">
            <v>La Roue</v>
          </cell>
        </row>
        <row r="207">
          <cell r="C207" t="str">
            <v>Rue Robert Buyck</v>
          </cell>
          <cell r="D207" t="str">
            <v>La Roue</v>
          </cell>
        </row>
        <row r="208">
          <cell r="C208" t="str">
            <v>Rue Van Winghen</v>
          </cell>
          <cell r="D208" t="str">
            <v>La Roue</v>
          </cell>
        </row>
        <row r="209">
          <cell r="C209" t="str">
            <v>Rue Walcourt</v>
          </cell>
          <cell r="D209" t="str">
            <v>La Roue</v>
          </cell>
        </row>
        <row r="210">
          <cell r="C210" t="str">
            <v>Sentier de la Drève</v>
          </cell>
          <cell r="D210" t="str">
            <v>La Roue</v>
          </cell>
        </row>
        <row r="211">
          <cell r="C211" t="str">
            <v>Allée de la Recherche</v>
          </cell>
          <cell r="D211" t="str">
            <v>Neerpede</v>
          </cell>
        </row>
        <row r="212">
          <cell r="C212" t="str">
            <v>Allée des Coquelicots</v>
          </cell>
          <cell r="D212" t="str">
            <v>Neerpede</v>
          </cell>
        </row>
        <row r="213">
          <cell r="C213" t="str">
            <v>Allée des Glycines</v>
          </cell>
          <cell r="D213" t="str">
            <v>Neerpede</v>
          </cell>
        </row>
        <row r="214">
          <cell r="C214" t="str">
            <v>Allée des Iris</v>
          </cell>
          <cell r="D214" t="str">
            <v>Neerpede</v>
          </cell>
        </row>
        <row r="215">
          <cell r="C215" t="str">
            <v>Allée des Jacinthes</v>
          </cell>
          <cell r="D215" t="str">
            <v>Neerpede</v>
          </cell>
        </row>
        <row r="216">
          <cell r="C216" t="str">
            <v>Allée des Perce-neige</v>
          </cell>
          <cell r="D216" t="str">
            <v>Neerpede</v>
          </cell>
        </row>
        <row r="217">
          <cell r="C217" t="str">
            <v>Allée des Pervenches</v>
          </cell>
          <cell r="D217" t="str">
            <v>Neerpede</v>
          </cell>
        </row>
        <row r="218">
          <cell r="C218" t="str">
            <v>Avenue Auguste Bourgeois</v>
          </cell>
          <cell r="D218" t="str">
            <v>Neerpede</v>
          </cell>
        </row>
        <row r="219">
          <cell r="C219" t="str">
            <v>Avenue de la Fécondité</v>
          </cell>
          <cell r="D219" t="str">
            <v>Neerpede</v>
          </cell>
        </row>
        <row r="220">
          <cell r="C220" t="str">
            <v>Avenue de la Salubrité</v>
          </cell>
          <cell r="D220" t="str">
            <v>Neerpede</v>
          </cell>
        </row>
        <row r="221">
          <cell r="C221" t="str">
            <v>Avenue des Chanterelles</v>
          </cell>
          <cell r="D221" t="str">
            <v>Neerpede</v>
          </cell>
        </row>
        <row r="222">
          <cell r="C222" t="str">
            <v>Avenue des Hortensias</v>
          </cell>
          <cell r="D222" t="str">
            <v>Neerpede</v>
          </cell>
        </row>
        <row r="223">
          <cell r="C223" t="str">
            <v>Avenue des Jonquilles</v>
          </cell>
          <cell r="D223" t="str">
            <v>Neerpede</v>
          </cell>
        </row>
        <row r="224">
          <cell r="C224" t="str">
            <v>Avenue des Lilas</v>
          </cell>
          <cell r="D224" t="str">
            <v>Neerpede</v>
          </cell>
        </row>
        <row r="225">
          <cell r="C225" t="str">
            <v>Avenue d'Itterbeek</v>
          </cell>
          <cell r="D225" t="str">
            <v>Neerpede</v>
          </cell>
        </row>
        <row r="226">
          <cell r="C226" t="str">
            <v>Avenue Henri Simonet</v>
          </cell>
          <cell r="D226" t="str">
            <v>Neerpede</v>
          </cell>
        </row>
        <row r="227">
          <cell r="C227" t="str">
            <v>Avenue Tempérance</v>
          </cell>
          <cell r="D227" t="str">
            <v>Neerpede</v>
          </cell>
        </row>
        <row r="228">
          <cell r="C228" t="str">
            <v>Boulevard Josse Leemans</v>
          </cell>
          <cell r="D228" t="str">
            <v>Neerpede</v>
          </cell>
        </row>
        <row r="229">
          <cell r="C229" t="str">
            <v>Clos des Cèpes</v>
          </cell>
          <cell r="D229" t="str">
            <v>Neerpede</v>
          </cell>
        </row>
        <row r="230">
          <cell r="C230" t="str">
            <v>Clos des Morilles</v>
          </cell>
          <cell r="D230" t="str">
            <v>Neerpede</v>
          </cell>
        </row>
        <row r="231">
          <cell r="C231" t="str">
            <v>Clos des Pleurotes</v>
          </cell>
          <cell r="D231" t="str">
            <v>Neerpede</v>
          </cell>
        </row>
        <row r="232">
          <cell r="C232" t="str">
            <v>Clos du Bolet</v>
          </cell>
          <cell r="D232" t="str">
            <v>Neerpede</v>
          </cell>
        </row>
        <row r="233">
          <cell r="C233" t="str">
            <v>Contournement Est</v>
          </cell>
          <cell r="D233" t="str">
            <v>Neerpede</v>
          </cell>
        </row>
        <row r="234">
          <cell r="C234" t="str">
            <v>Drève Olympique</v>
          </cell>
          <cell r="D234" t="str">
            <v>Neerpede</v>
          </cell>
        </row>
        <row r="235">
          <cell r="C235" t="str">
            <v>Drève Soetkin</v>
          </cell>
          <cell r="D235" t="str">
            <v>Neerpede</v>
          </cell>
        </row>
        <row r="236">
          <cell r="C236" t="str">
            <v>Drève Tyl Uylenspiegel</v>
          </cell>
          <cell r="D236" t="str">
            <v>Neerpede</v>
          </cell>
        </row>
        <row r="237">
          <cell r="C237" t="str">
            <v>Place de la Croix-Rouge</v>
          </cell>
          <cell r="D237" t="str">
            <v>Neerpede</v>
          </cell>
        </row>
        <row r="238">
          <cell r="C238" t="str">
            <v>Place de l'Aurore</v>
          </cell>
          <cell r="D238" t="str">
            <v>Neerpede</v>
          </cell>
        </row>
        <row r="239">
          <cell r="C239" t="str">
            <v>Place des Tulipes</v>
          </cell>
          <cell r="D239" t="str">
            <v>Neerpede</v>
          </cell>
        </row>
        <row r="240">
          <cell r="C240" t="str">
            <v>Place Séverine</v>
          </cell>
          <cell r="D240" t="str">
            <v>Neerpede</v>
          </cell>
        </row>
        <row r="241">
          <cell r="C241" t="str">
            <v>Rue de Koeivijver</v>
          </cell>
          <cell r="D241" t="str">
            <v>Neerpede</v>
          </cell>
        </row>
        <row r="242">
          <cell r="C242" t="str">
            <v>Rue de la Délivrance</v>
          </cell>
          <cell r="D242" t="str">
            <v>Neerpede</v>
          </cell>
        </row>
        <row r="243">
          <cell r="C243" t="str">
            <v>Rue de la Dignité</v>
          </cell>
          <cell r="D243" t="str">
            <v>Neerpede</v>
          </cell>
        </row>
        <row r="244">
          <cell r="C244" t="str">
            <v>Rue de la Floraison</v>
          </cell>
          <cell r="D244" t="str">
            <v>Neerpede</v>
          </cell>
        </row>
        <row r="245">
          <cell r="C245" t="str">
            <v>Rue de la Modestie</v>
          </cell>
          <cell r="D245" t="str">
            <v>Neerpede</v>
          </cell>
        </row>
        <row r="246">
          <cell r="C246" t="str">
            <v>Rue de la Santé</v>
          </cell>
          <cell r="D246" t="str">
            <v>Neerpede</v>
          </cell>
        </row>
        <row r="247">
          <cell r="C247" t="str">
            <v>Rue de l'Enthousiasme</v>
          </cell>
          <cell r="D247" t="str">
            <v>Neerpede</v>
          </cell>
        </row>
        <row r="248">
          <cell r="C248" t="str">
            <v>Rue de l'Hygiène</v>
          </cell>
          <cell r="D248" t="str">
            <v>Neerpede</v>
          </cell>
        </row>
        <row r="249">
          <cell r="C249" t="str">
            <v>Rue de Neerpede</v>
          </cell>
          <cell r="D249" t="str">
            <v>Neerpede</v>
          </cell>
        </row>
        <row r="250">
          <cell r="C250" t="str">
            <v>Rue de Scherdemael</v>
          </cell>
          <cell r="D250" t="str">
            <v>Neerpede</v>
          </cell>
        </row>
        <row r="251">
          <cell r="C251" t="str">
            <v>Rue des Betteraves</v>
          </cell>
          <cell r="D251" t="str">
            <v>Neerpede</v>
          </cell>
        </row>
        <row r="252">
          <cell r="C252" t="str">
            <v>Rue des Lapins</v>
          </cell>
          <cell r="D252" t="str">
            <v>Neerpede</v>
          </cell>
        </row>
        <row r="253">
          <cell r="C253" t="str">
            <v>Rue des Papillons</v>
          </cell>
          <cell r="D253" t="str">
            <v>Neerpede</v>
          </cell>
        </row>
        <row r="254">
          <cell r="C254" t="str">
            <v>Rue des Poulets</v>
          </cell>
          <cell r="D254" t="str">
            <v>Neerpede</v>
          </cell>
        </row>
        <row r="255">
          <cell r="C255" t="str">
            <v>Rue des Quarantaines</v>
          </cell>
          <cell r="D255" t="str">
            <v>Neerpede</v>
          </cell>
        </row>
        <row r="256">
          <cell r="C256" t="str">
            <v>Rue du Bonheur</v>
          </cell>
          <cell r="D256" t="str">
            <v>Neerpede</v>
          </cell>
        </row>
        <row r="257">
          <cell r="C257" t="str">
            <v>Rue du Chaudron</v>
          </cell>
          <cell r="D257" t="str">
            <v>Neerpede</v>
          </cell>
        </row>
        <row r="258">
          <cell r="C258" t="str">
            <v>Rue du Froment</v>
          </cell>
          <cell r="D258" t="str">
            <v>Neerpede</v>
          </cell>
        </row>
        <row r="259">
          <cell r="C259" t="str">
            <v>Rue du Lièvre</v>
          </cell>
          <cell r="D259" t="str">
            <v>Neerpede</v>
          </cell>
        </row>
        <row r="260">
          <cell r="C260" t="str">
            <v>Rue du Pommier</v>
          </cell>
          <cell r="D260" t="str">
            <v>Neerpede</v>
          </cell>
        </row>
        <row r="261">
          <cell r="C261" t="str">
            <v>Rue Edouard Van Muylders</v>
          </cell>
          <cell r="D261" t="str">
            <v>Neerpede</v>
          </cell>
        </row>
        <row r="262">
          <cell r="C262" t="str">
            <v>Rue Ferdinand Craps</v>
          </cell>
          <cell r="D262" t="str">
            <v>Neerpede</v>
          </cell>
        </row>
        <row r="263">
          <cell r="C263" t="str">
            <v>Rue Gaston Coudyser</v>
          </cell>
          <cell r="D263" t="str">
            <v>Neerpede</v>
          </cell>
        </row>
        <row r="264">
          <cell r="C264" t="str">
            <v>Rue Jean Lagey</v>
          </cell>
          <cell r="D264" t="str">
            <v>Neerpede</v>
          </cell>
        </row>
        <row r="265">
          <cell r="C265" t="str">
            <v>Rue Léon Nicodème</v>
          </cell>
          <cell r="D265" t="str">
            <v>Neerpede</v>
          </cell>
        </row>
        <row r="266">
          <cell r="C266" t="str">
            <v>Rue Meylemeersch</v>
          </cell>
          <cell r="D266" t="str">
            <v>Neerpede</v>
          </cell>
        </row>
        <row r="267">
          <cell r="C267" t="str">
            <v>Rue Pierre Van Reymenant</v>
          </cell>
          <cell r="D267" t="str">
            <v>Neerpede</v>
          </cell>
        </row>
        <row r="268">
          <cell r="C268" t="str">
            <v>Rue Scholle</v>
          </cell>
          <cell r="D268" t="str">
            <v>Neerpede</v>
          </cell>
        </row>
        <row r="269">
          <cell r="C269" t="str">
            <v>Rue Vlasendael</v>
          </cell>
          <cell r="D269" t="str">
            <v>Neerpede</v>
          </cell>
        </row>
        <row r="270">
          <cell r="C270" t="str">
            <v>Square de la Fraternelle</v>
          </cell>
          <cell r="D270" t="str">
            <v>Neerpede</v>
          </cell>
        </row>
        <row r="271">
          <cell r="C271" t="str">
            <v>Allée des Novateurs</v>
          </cell>
          <cell r="D271" t="str">
            <v>Parc</v>
          </cell>
        </row>
        <row r="272">
          <cell r="C272" t="str">
            <v>Allée du Hérisson</v>
          </cell>
          <cell r="D272" t="str">
            <v>Parc</v>
          </cell>
        </row>
        <row r="273">
          <cell r="C273" t="str">
            <v>Avenue Albert De Coster</v>
          </cell>
          <cell r="D273" t="str">
            <v>Parc</v>
          </cell>
        </row>
        <row r="274">
          <cell r="C274" t="str">
            <v>Avenue Camille Vaneukem</v>
          </cell>
          <cell r="D274" t="str">
            <v>Parc</v>
          </cell>
        </row>
        <row r="275">
          <cell r="C275" t="str">
            <v>Avenue Capitaine Fossoul</v>
          </cell>
          <cell r="D275" t="str">
            <v>Parc</v>
          </cell>
        </row>
        <row r="276">
          <cell r="C276" t="str">
            <v>Avenue Chanoine Roose</v>
          </cell>
          <cell r="D276" t="str">
            <v>Parc</v>
          </cell>
        </row>
        <row r="277">
          <cell r="C277" t="str">
            <v>Avenue de la Libre Académie</v>
          </cell>
          <cell r="D277" t="str">
            <v>Parc</v>
          </cell>
        </row>
        <row r="278">
          <cell r="C278" t="str">
            <v>Avenue du Roi Soldat</v>
          </cell>
          <cell r="D278" t="str">
            <v>Parc</v>
          </cell>
        </row>
        <row r="279">
          <cell r="C279" t="str">
            <v>Avenue du Roi-Soldat</v>
          </cell>
          <cell r="D279" t="str">
            <v>Parc</v>
          </cell>
        </row>
        <row r="280">
          <cell r="C280" t="str">
            <v>Avenue Eugène Ysaÿe</v>
          </cell>
          <cell r="D280" t="str">
            <v>Parc</v>
          </cell>
        </row>
        <row r="281">
          <cell r="C281" t="str">
            <v>Avenue Gounod</v>
          </cell>
          <cell r="D281" t="str">
            <v>Parc</v>
          </cell>
        </row>
        <row r="282">
          <cell r="C282" t="str">
            <v>Avenue Jean Sibélius</v>
          </cell>
          <cell r="D282" t="str">
            <v>Parc</v>
          </cell>
        </row>
        <row r="283">
          <cell r="C283" t="str">
            <v>Avenue Joseph Vanhellemont</v>
          </cell>
          <cell r="D283" t="str">
            <v>Parc</v>
          </cell>
        </row>
        <row r="284">
          <cell r="C284" t="str">
            <v>Avenue Pierre Beyst</v>
          </cell>
          <cell r="D284" t="str">
            <v>Parc</v>
          </cell>
        </row>
        <row r="285">
          <cell r="C285" t="str">
            <v>Avenue Théo Verbeeck</v>
          </cell>
          <cell r="D285" t="str">
            <v>Parc</v>
          </cell>
        </row>
        <row r="286">
          <cell r="C286" t="str">
            <v>Drève des Agaves</v>
          </cell>
          <cell r="D286" t="str">
            <v>Parc</v>
          </cell>
        </row>
        <row r="287">
          <cell r="C287" t="str">
            <v>Parc Astrid</v>
          </cell>
          <cell r="D287" t="str">
            <v>Parc</v>
          </cell>
        </row>
        <row r="288">
          <cell r="C288" t="str">
            <v>Parc de Scherdemael</v>
          </cell>
          <cell r="D288" t="str">
            <v>Parc</v>
          </cell>
        </row>
        <row r="289">
          <cell r="C289" t="str">
            <v>Rond-point Pierre De Tollenaere</v>
          </cell>
          <cell r="D289" t="str">
            <v>Parc</v>
          </cell>
        </row>
        <row r="290">
          <cell r="C290" t="str">
            <v>Rue Chopin</v>
          </cell>
          <cell r="D290" t="str">
            <v>Parc</v>
          </cell>
        </row>
        <row r="291">
          <cell r="C291" t="str">
            <v>Rue Docteur Huet</v>
          </cell>
          <cell r="D291" t="str">
            <v>Parc</v>
          </cell>
        </row>
        <row r="292">
          <cell r="C292" t="str">
            <v>Rue Edgar Tinel</v>
          </cell>
          <cell r="D292" t="str">
            <v>Parc</v>
          </cell>
        </row>
        <row r="293">
          <cell r="C293" t="str">
            <v>Rue Emile Versé</v>
          </cell>
          <cell r="D293" t="str">
            <v>Parc</v>
          </cell>
        </row>
        <row r="294">
          <cell r="C294" t="str">
            <v>Rue Guillaume Lekeu</v>
          </cell>
          <cell r="D294" t="str">
            <v>Parc</v>
          </cell>
        </row>
        <row r="295">
          <cell r="C295" t="str">
            <v>Rue Louis van Beethoven</v>
          </cell>
          <cell r="D295" t="str">
            <v>Parc</v>
          </cell>
        </row>
        <row r="296">
          <cell r="C296" t="str">
            <v>Square Egide Rombaux</v>
          </cell>
          <cell r="D296" t="str">
            <v>Parc</v>
          </cell>
        </row>
        <row r="297">
          <cell r="C297" t="str">
            <v xml:space="preserve">Square Marie Curie </v>
          </cell>
          <cell r="D297" t="str">
            <v>Parc</v>
          </cell>
        </row>
        <row r="298">
          <cell r="C298" t="str">
            <v>Allée Clara Clairbert</v>
          </cell>
          <cell r="D298" t="str">
            <v>Parc</v>
          </cell>
        </row>
        <row r="299">
          <cell r="C299" t="str">
            <v>Avenue Charles De Tollenaere</v>
          </cell>
          <cell r="D299" t="str">
            <v>Parc</v>
          </cell>
        </row>
        <row r="300">
          <cell r="C300" t="str">
            <v>Avenue Claeterbosch</v>
          </cell>
          <cell r="D300" t="str">
            <v>Parc</v>
          </cell>
        </row>
        <row r="301">
          <cell r="C301" t="str">
            <v>Avenue Docteur Lemoine</v>
          </cell>
          <cell r="D301" t="str">
            <v>Parc</v>
          </cell>
        </row>
        <row r="302">
          <cell r="C302" t="str">
            <v>Avenue Marius Renard</v>
          </cell>
          <cell r="D302" t="str">
            <v>Parc</v>
          </cell>
        </row>
        <row r="303">
          <cell r="C303" t="str">
            <v>Avenue Nellie Melba</v>
          </cell>
          <cell r="D303" t="str">
            <v>Parc</v>
          </cell>
        </row>
        <row r="304">
          <cell r="C304" t="str">
            <v>Avenue Romain Rolland</v>
          </cell>
          <cell r="D304" t="str">
            <v>Parc</v>
          </cell>
        </row>
        <row r="305">
          <cell r="C305" t="str">
            <v>Boulevard Joseph Bracops</v>
          </cell>
          <cell r="D305" t="str">
            <v>Parc</v>
          </cell>
        </row>
        <row r="306">
          <cell r="C306" t="str">
            <v>Parc Debussy</v>
          </cell>
          <cell r="D306" t="str">
            <v>Parc</v>
          </cell>
        </row>
        <row r="307">
          <cell r="C307" t="str">
            <v>Parc des Etangs</v>
          </cell>
          <cell r="D307" t="str">
            <v>Parc</v>
          </cell>
        </row>
        <row r="308">
          <cell r="C308" t="str">
            <v>Parc Joseph Lemaire</v>
          </cell>
          <cell r="D308" t="str">
            <v>Parc</v>
          </cell>
        </row>
        <row r="309">
          <cell r="C309" t="str">
            <v>Parc Vivès</v>
          </cell>
          <cell r="D309" t="str">
            <v>Parc</v>
          </cell>
        </row>
        <row r="310">
          <cell r="C310" t="str">
            <v>Place Martin Luther King</v>
          </cell>
          <cell r="D310" t="str">
            <v>Parc</v>
          </cell>
        </row>
        <row r="311">
          <cell r="C311" t="str">
            <v>Rue Antoine Nys</v>
          </cell>
          <cell r="D311" t="str">
            <v>Parc</v>
          </cell>
        </row>
        <row r="312">
          <cell r="C312" t="str">
            <v>Rue de la Vigne</v>
          </cell>
          <cell r="D312" t="str">
            <v>Parc</v>
          </cell>
        </row>
        <row r="313">
          <cell r="C313" t="str">
            <v>Rue Jean-Baptiste-François Denys</v>
          </cell>
          <cell r="D313" t="str">
            <v>Parc</v>
          </cell>
        </row>
        <row r="314">
          <cell r="C314" t="str">
            <v>Rue Pierre Longin</v>
          </cell>
          <cell r="D314" t="str">
            <v>Parc</v>
          </cell>
        </row>
        <row r="315">
          <cell r="C315" t="str">
            <v>Square Frans Hals</v>
          </cell>
          <cell r="D315" t="str">
            <v>Parc</v>
          </cell>
        </row>
        <row r="316">
          <cell r="C316" t="str">
            <v>Square Jean Hayet</v>
          </cell>
          <cell r="D316" t="str">
            <v>Parc</v>
          </cell>
        </row>
        <row r="317">
          <cell r="C317" t="str">
            <v>Square Victor Voets</v>
          </cell>
          <cell r="D317" t="str">
            <v>Parc</v>
          </cell>
        </row>
        <row r="318">
          <cell r="C318" t="str">
            <v>Sans-abris</v>
          </cell>
          <cell r="D318" t="str">
            <v>Pas d'adresse</v>
          </cell>
        </row>
        <row r="319">
          <cell r="C319" t="str">
            <v>Avenue Charles Plisnier</v>
          </cell>
          <cell r="D319" t="str">
            <v>Peterbos</v>
          </cell>
        </row>
        <row r="320">
          <cell r="C320" t="str">
            <v>Avenue Commandant Vander Meeren</v>
          </cell>
          <cell r="D320" t="str">
            <v>Peterbos</v>
          </cell>
        </row>
        <row r="321">
          <cell r="C321" t="str">
            <v>Avenue de la Poésie</v>
          </cell>
          <cell r="D321" t="str">
            <v>Peterbos</v>
          </cell>
        </row>
        <row r="322">
          <cell r="C322" t="str">
            <v>Avenue des Crocus</v>
          </cell>
          <cell r="D322" t="str">
            <v>Peterbos</v>
          </cell>
        </row>
        <row r="323">
          <cell r="C323" t="str">
            <v>Avenue Jean Josée</v>
          </cell>
          <cell r="D323" t="str">
            <v>Peterbos</v>
          </cell>
        </row>
        <row r="324">
          <cell r="C324" t="str">
            <v>Avenue René Berrewaerts</v>
          </cell>
          <cell r="D324" t="str">
            <v>Peterbos</v>
          </cell>
        </row>
        <row r="325">
          <cell r="C325" t="str">
            <v>Avenue Tolstoï</v>
          </cell>
          <cell r="D325" t="str">
            <v>Peterbos</v>
          </cell>
        </row>
        <row r="326">
          <cell r="C326" t="str">
            <v>Boulevard Maria Groeninckx-De May</v>
          </cell>
          <cell r="D326" t="str">
            <v>Peterbos</v>
          </cell>
        </row>
        <row r="327">
          <cell r="C327" t="str">
            <v>Boulevard Shakespeare</v>
          </cell>
          <cell r="D327" t="str">
            <v>Peterbos</v>
          </cell>
        </row>
        <row r="328">
          <cell r="C328" t="str">
            <v>Boulevard Sylvain Dupuis</v>
          </cell>
          <cell r="D328" t="str">
            <v>Peterbos</v>
          </cell>
        </row>
        <row r="329">
          <cell r="C329" t="str">
            <v>Chaussée de Ninove 623-739 /700-788</v>
          </cell>
          <cell r="D329" t="str">
            <v>Peterbos</v>
          </cell>
        </row>
        <row r="330">
          <cell r="C330" t="str">
            <v>Clos Hof te Ophem</v>
          </cell>
          <cell r="D330" t="str">
            <v>Peterbos</v>
          </cell>
        </row>
        <row r="331">
          <cell r="C331" t="str">
            <v>Parc de Scheutveld</v>
          </cell>
          <cell r="D331" t="str">
            <v>Peterbos</v>
          </cell>
        </row>
        <row r="332">
          <cell r="C332" t="str">
            <v>Parc du Peterbos</v>
          </cell>
          <cell r="D332" t="str">
            <v>Peterbos</v>
          </cell>
        </row>
        <row r="333">
          <cell r="C333" t="str">
            <v>Parc Effort</v>
          </cell>
          <cell r="D333" t="str">
            <v>Peterbos</v>
          </cell>
        </row>
        <row r="334">
          <cell r="C334" t="str">
            <v>Parc Mercator</v>
          </cell>
          <cell r="D334" t="str">
            <v>Peterbos</v>
          </cell>
        </row>
        <row r="335">
          <cell r="C335" t="str">
            <v>Parc Rabelais</v>
          </cell>
          <cell r="D335" t="str">
            <v>Peterbos</v>
          </cell>
        </row>
        <row r="336">
          <cell r="C336" t="str">
            <v>Place de Sainte-Adresse</v>
          </cell>
          <cell r="D336" t="str">
            <v>Peterbos</v>
          </cell>
        </row>
        <row r="337">
          <cell r="C337" t="str">
            <v>Rue Adolphe Prins</v>
          </cell>
          <cell r="D337" t="str">
            <v>Peterbos</v>
          </cell>
        </row>
        <row r="338">
          <cell r="C338" t="str">
            <v>Rue Adolphe Willemyns</v>
          </cell>
          <cell r="D338" t="str">
            <v>Peterbos</v>
          </cell>
        </row>
        <row r="339">
          <cell r="C339" t="str">
            <v>Rue Alphonse Demunter</v>
          </cell>
          <cell r="D339" t="str">
            <v>Peterbos</v>
          </cell>
        </row>
        <row r="340">
          <cell r="C340" t="str">
            <v>Rue Buffon</v>
          </cell>
          <cell r="D340" t="str">
            <v>Peterbos</v>
          </cell>
        </row>
        <row r="341">
          <cell r="C341" t="str">
            <v>Rue Corneille</v>
          </cell>
          <cell r="D341" t="str">
            <v>Peterbos</v>
          </cell>
        </row>
        <row r="342">
          <cell r="C342" t="str">
            <v>Rue de la Cantilène</v>
          </cell>
          <cell r="D342" t="str">
            <v>Peterbos</v>
          </cell>
        </row>
        <row r="343">
          <cell r="C343" t="str">
            <v>Rue de la Caravelle</v>
          </cell>
          <cell r="D343" t="str">
            <v>Peterbos</v>
          </cell>
        </row>
        <row r="344">
          <cell r="C344" t="str">
            <v>Rue de la Compétition</v>
          </cell>
          <cell r="D344" t="str">
            <v>Peterbos</v>
          </cell>
        </row>
        <row r="345">
          <cell r="C345" t="str">
            <v>Rue de la Corvette</v>
          </cell>
          <cell r="D345" t="str">
            <v>Peterbos</v>
          </cell>
        </row>
        <row r="346">
          <cell r="C346" t="str">
            <v>Rue de la Prose</v>
          </cell>
          <cell r="D346" t="str">
            <v>Peterbos</v>
          </cell>
        </row>
        <row r="347">
          <cell r="C347" t="str">
            <v>Rue de l'Agrément</v>
          </cell>
          <cell r="D347" t="str">
            <v>Peterbos</v>
          </cell>
        </row>
        <row r="348">
          <cell r="C348" t="str">
            <v>Rue de l'Agronome</v>
          </cell>
          <cell r="D348" t="str">
            <v>Peterbos</v>
          </cell>
        </row>
        <row r="349">
          <cell r="C349" t="str">
            <v>Rue de l'Ode</v>
          </cell>
          <cell r="D349" t="str">
            <v>Peterbos</v>
          </cell>
        </row>
        <row r="350">
          <cell r="C350" t="str">
            <v>Rue de Sévigné</v>
          </cell>
          <cell r="D350" t="str">
            <v>Peterbos</v>
          </cell>
        </row>
        <row r="351">
          <cell r="C351" t="str">
            <v>Rue Démosthène</v>
          </cell>
          <cell r="D351" t="str">
            <v>Peterbos</v>
          </cell>
        </row>
        <row r="352">
          <cell r="C352" t="str">
            <v>Rue des Aubergines</v>
          </cell>
          <cell r="D352" t="str">
            <v>Peterbos</v>
          </cell>
        </row>
        <row r="353">
          <cell r="C353" t="str">
            <v>Rue des Fruits</v>
          </cell>
          <cell r="D353" t="str">
            <v>Peterbos</v>
          </cell>
        </row>
        <row r="354">
          <cell r="C354" t="str">
            <v>Rue des Maraîchers</v>
          </cell>
          <cell r="D354" t="str">
            <v>Peterbos</v>
          </cell>
        </row>
        <row r="355">
          <cell r="C355" t="str">
            <v>Rue du Broeck</v>
          </cell>
          <cell r="D355" t="str">
            <v>Peterbos</v>
          </cell>
        </row>
        <row r="356">
          <cell r="C356" t="str">
            <v>Rue du Champion</v>
          </cell>
          <cell r="D356" t="str">
            <v>Peterbos</v>
          </cell>
        </row>
        <row r="357">
          <cell r="C357" t="str">
            <v>Rue du Corail</v>
          </cell>
          <cell r="D357" t="str">
            <v>Peterbos</v>
          </cell>
        </row>
        <row r="358">
          <cell r="C358" t="str">
            <v>Rue du Gazouillis</v>
          </cell>
          <cell r="D358" t="str">
            <v>Peterbos</v>
          </cell>
        </row>
        <row r="359">
          <cell r="C359" t="str">
            <v>Rue du Pippenzijpe</v>
          </cell>
          <cell r="D359" t="str">
            <v>Peterbos</v>
          </cell>
        </row>
        <row r="360">
          <cell r="C360" t="str">
            <v>Rue du Potaerdenberg</v>
          </cell>
          <cell r="D360" t="str">
            <v>Peterbos</v>
          </cell>
        </row>
        <row r="361">
          <cell r="C361" t="str">
            <v>Rue du Roman</v>
          </cell>
          <cell r="D361" t="str">
            <v>Peterbos</v>
          </cell>
        </row>
        <row r="362">
          <cell r="C362" t="str">
            <v>Rue du Serment</v>
          </cell>
          <cell r="D362" t="str">
            <v>Peterbos</v>
          </cell>
        </row>
        <row r="363">
          <cell r="C363" t="str">
            <v>Rue du Sillon</v>
          </cell>
          <cell r="D363" t="str">
            <v>Peterbos</v>
          </cell>
        </row>
        <row r="364">
          <cell r="C364" t="str">
            <v>Rue du Trophée</v>
          </cell>
          <cell r="D364" t="str">
            <v>Peterbos</v>
          </cell>
        </row>
        <row r="365">
          <cell r="C365" t="str">
            <v>Rue Elskamp</v>
          </cell>
          <cell r="D365" t="str">
            <v>Peterbos</v>
          </cell>
        </row>
        <row r="366">
          <cell r="C366" t="str">
            <v>Rue Emile Hellebaut</v>
          </cell>
          <cell r="D366" t="str">
            <v>Peterbos</v>
          </cell>
        </row>
        <row r="367">
          <cell r="C367" t="str">
            <v>Rue Fénelon</v>
          </cell>
          <cell r="D367" t="str">
            <v>Peterbos</v>
          </cell>
        </row>
        <row r="368">
          <cell r="C368" t="str">
            <v>Rue Henri Caron</v>
          </cell>
          <cell r="D368" t="str">
            <v>Peterbos</v>
          </cell>
        </row>
        <row r="369">
          <cell r="C369" t="str">
            <v>Rue Henri Maes</v>
          </cell>
          <cell r="D369" t="str">
            <v>Peterbos</v>
          </cell>
        </row>
        <row r="370">
          <cell r="C370" t="str">
            <v>Rue Homère</v>
          </cell>
          <cell r="D370" t="str">
            <v>Peterbos</v>
          </cell>
        </row>
        <row r="371">
          <cell r="C371" t="str">
            <v>Rue Horace</v>
          </cell>
          <cell r="D371" t="str">
            <v>Peterbos</v>
          </cell>
        </row>
        <row r="372">
          <cell r="C372" t="str">
            <v>Rue Jean Morjau</v>
          </cell>
          <cell r="D372" t="str">
            <v>Peterbos</v>
          </cell>
        </row>
        <row r="373">
          <cell r="C373" t="str">
            <v>Rue Joseph Van Boterdael</v>
          </cell>
          <cell r="D373" t="str">
            <v>Peterbos</v>
          </cell>
        </row>
        <row r="374">
          <cell r="C374" t="str">
            <v>Rue Karel Vande Woestijne</v>
          </cell>
          <cell r="D374" t="str">
            <v>Peterbos</v>
          </cell>
        </row>
        <row r="375">
          <cell r="C375" t="str">
            <v>Rue Lamartine</v>
          </cell>
          <cell r="D375" t="str">
            <v>Peterbos</v>
          </cell>
        </row>
        <row r="376">
          <cell r="C376" t="str">
            <v>Rue Maria Tillmans</v>
          </cell>
          <cell r="D376" t="str">
            <v>Peterbos</v>
          </cell>
        </row>
        <row r="377">
          <cell r="C377" t="str">
            <v>Rue Martin Van Lier</v>
          </cell>
          <cell r="D377" t="str">
            <v>Peterbos</v>
          </cell>
        </row>
        <row r="378">
          <cell r="C378" t="str">
            <v>Rue Maurice Albert Raskin</v>
          </cell>
          <cell r="D378" t="str">
            <v>Peterbos</v>
          </cell>
        </row>
        <row r="379">
          <cell r="C379" t="str">
            <v>Rue Maurice-Albert Raskin</v>
          </cell>
          <cell r="D379" t="str">
            <v>Peterbos</v>
          </cell>
        </row>
        <row r="380">
          <cell r="C380" t="str">
            <v>Rue Mercator</v>
          </cell>
          <cell r="D380" t="str">
            <v>Peterbos</v>
          </cell>
        </row>
        <row r="381">
          <cell r="C381" t="str">
            <v>Rue Pierre Vandevoorde</v>
          </cell>
          <cell r="D381" t="str">
            <v>Peterbos</v>
          </cell>
        </row>
        <row r="382">
          <cell r="C382" t="str">
            <v>Rue Pol Stoppelaere</v>
          </cell>
          <cell r="D382" t="str">
            <v>Peterbos</v>
          </cell>
        </row>
        <row r="383">
          <cell r="C383" t="str">
            <v>Rue Polydore Moerman</v>
          </cell>
          <cell r="D383" t="str">
            <v>Peterbos</v>
          </cell>
        </row>
        <row r="384">
          <cell r="C384" t="str">
            <v>Rue Rabelais</v>
          </cell>
          <cell r="D384" t="str">
            <v>Peterbos</v>
          </cell>
        </row>
        <row r="385">
          <cell r="C385" t="str">
            <v>Rue Ronsard</v>
          </cell>
          <cell r="D385" t="str">
            <v>Peterbos</v>
          </cell>
        </row>
        <row r="386">
          <cell r="C386" t="str">
            <v>Rue Van Soust</v>
          </cell>
          <cell r="D386" t="str">
            <v>Peterbos</v>
          </cell>
        </row>
        <row r="387">
          <cell r="C387" t="str">
            <v>Rue Virgile</v>
          </cell>
          <cell r="D387" t="str">
            <v>Peterbos</v>
          </cell>
        </row>
        <row r="388">
          <cell r="C388" t="str">
            <v>Square Camille Paulsen</v>
          </cell>
          <cell r="D388" t="str">
            <v>Peterbos</v>
          </cell>
        </row>
        <row r="389">
          <cell r="C389" t="str">
            <v>Square Jules Algoet</v>
          </cell>
          <cell r="D389" t="str">
            <v>Peterbos</v>
          </cell>
        </row>
        <row r="390">
          <cell r="C390" t="str">
            <v>Boulevard de la Grande Ceinture</v>
          </cell>
          <cell r="D390" t="str">
            <v xml:space="preserve">Peterbos </v>
          </cell>
        </row>
        <row r="391">
          <cell r="C391" t="str">
            <v>Rue Sainte-Adresse</v>
          </cell>
          <cell r="D391" t="str">
            <v xml:space="preserve">Peterbos </v>
          </cell>
        </row>
        <row r="392">
          <cell r="C392" t="str">
            <v>Avenue de l'Eternité</v>
          </cell>
          <cell r="D392" t="str">
            <v>Scheut</v>
          </cell>
        </row>
        <row r="393">
          <cell r="C393" t="str">
            <v>Avenue de Scheut</v>
          </cell>
          <cell r="D393" t="str">
            <v>Scheut</v>
          </cell>
        </row>
        <row r="394">
          <cell r="C394" t="str">
            <v>Avenue des Ménestrels</v>
          </cell>
          <cell r="D394" t="str">
            <v>Scheut</v>
          </cell>
        </row>
        <row r="395">
          <cell r="C395" t="str">
            <v>Avenue des Missionaires</v>
          </cell>
          <cell r="D395" t="str">
            <v>Scheut</v>
          </cell>
        </row>
        <row r="396">
          <cell r="C396" t="str">
            <v>Avenue François Malherbe</v>
          </cell>
          <cell r="D396" t="str">
            <v>Scheut</v>
          </cell>
        </row>
        <row r="397">
          <cell r="C397" t="str">
            <v>Avenue Léon Debatty</v>
          </cell>
          <cell r="D397" t="str">
            <v>Scheut</v>
          </cell>
        </row>
        <row r="398">
          <cell r="C398" t="str">
            <v>Avenue Norbert Gille</v>
          </cell>
          <cell r="D398" t="str">
            <v>Scheut</v>
          </cell>
        </row>
        <row r="399">
          <cell r="C399" t="str">
            <v>Avenue Raymond Vander Bruggen</v>
          </cell>
          <cell r="D399" t="str">
            <v>Scheut</v>
          </cell>
        </row>
        <row r="400">
          <cell r="C400" t="str">
            <v>Boulevard Felix Paulsen</v>
          </cell>
          <cell r="D400" t="str">
            <v>Scheut</v>
          </cell>
        </row>
        <row r="401">
          <cell r="C401" t="str">
            <v>Boulevard Jules Graindor</v>
          </cell>
          <cell r="D401" t="str">
            <v>Scheut</v>
          </cell>
        </row>
        <row r="402">
          <cell r="C402" t="str">
            <v>Boulevard Maurice Herbette</v>
          </cell>
          <cell r="D402" t="str">
            <v>Scheut</v>
          </cell>
        </row>
        <row r="403">
          <cell r="C403" t="str">
            <v>Boulevard Prince de Liège</v>
          </cell>
          <cell r="D403" t="str">
            <v>Scheut</v>
          </cell>
        </row>
        <row r="404">
          <cell r="C404" t="str">
            <v>Chaussée de Ninove 279-505/280-698</v>
          </cell>
          <cell r="D404" t="str">
            <v>Scheut</v>
          </cell>
        </row>
        <row r="405">
          <cell r="C405" t="str">
            <v>Parc du Petit-Scheut</v>
          </cell>
          <cell r="D405" t="str">
            <v>Scheut</v>
          </cell>
        </row>
        <row r="406">
          <cell r="C406" t="str">
            <v>Parc Obus</v>
          </cell>
          <cell r="D406" t="str">
            <v>Scheut</v>
          </cell>
        </row>
        <row r="407">
          <cell r="C407" t="str">
            <v>Parc Semence</v>
          </cell>
          <cell r="D407" t="str">
            <v>Scheut</v>
          </cell>
        </row>
        <row r="408">
          <cell r="C408" t="str">
            <v>Place de la Beauté</v>
          </cell>
          <cell r="D408" t="str">
            <v>Scheut</v>
          </cell>
        </row>
        <row r="409">
          <cell r="C409" t="str">
            <v>Place du Droit</v>
          </cell>
          <cell r="D409" t="str">
            <v>Scheut</v>
          </cell>
        </row>
        <row r="410">
          <cell r="C410" t="str">
            <v>Place du Repos</v>
          </cell>
          <cell r="D410" t="str">
            <v>Scheut</v>
          </cell>
        </row>
        <row r="411">
          <cell r="C411" t="str">
            <v>Place Henri De Smet</v>
          </cell>
          <cell r="D411" t="str">
            <v>Scheut</v>
          </cell>
        </row>
        <row r="412">
          <cell r="C412" t="str">
            <v>Quai Fernand Demets</v>
          </cell>
          <cell r="D412" t="str">
            <v>Scheut</v>
          </cell>
        </row>
        <row r="413">
          <cell r="C413" t="str">
            <v>Rue Achille Jonas</v>
          </cell>
          <cell r="D413" t="str">
            <v>Scheut</v>
          </cell>
        </row>
        <row r="414">
          <cell r="C414" t="str">
            <v>Rue Beeckman de Crayloo</v>
          </cell>
          <cell r="D414" t="str">
            <v>Scheut</v>
          </cell>
        </row>
        <row r="415">
          <cell r="C415" t="str">
            <v>Rue Commandant Charcot</v>
          </cell>
          <cell r="D415" t="str">
            <v>Scheut</v>
          </cell>
        </row>
        <row r="416">
          <cell r="C416" t="str">
            <v>Rue Cyriel Buysse</v>
          </cell>
          <cell r="D416" t="str">
            <v>Scheut</v>
          </cell>
        </row>
        <row r="417">
          <cell r="C417" t="str">
            <v>Rue de Birmingham</v>
          </cell>
          <cell r="D417" t="str">
            <v>Scheut</v>
          </cell>
        </row>
        <row r="418">
          <cell r="C418" t="str">
            <v>Rue de Dilbeek</v>
          </cell>
          <cell r="D418" t="str">
            <v>Scheut</v>
          </cell>
        </row>
        <row r="419">
          <cell r="C419" t="str">
            <v>Rue de Glasgow</v>
          </cell>
          <cell r="D419" t="str">
            <v>Scheut</v>
          </cell>
        </row>
        <row r="420">
          <cell r="C420" t="str">
            <v>Rue de la Cavatine</v>
          </cell>
          <cell r="D420" t="str">
            <v>Scheut</v>
          </cell>
        </row>
        <row r="421">
          <cell r="C421" t="str">
            <v>Rue de la Cordialité</v>
          </cell>
          <cell r="D421" t="str">
            <v>Scheut</v>
          </cell>
        </row>
        <row r="422">
          <cell r="C422" t="str">
            <v>Rue de la Courtoisie</v>
          </cell>
          <cell r="D422" t="str">
            <v>Scheut</v>
          </cell>
        </row>
        <row r="423">
          <cell r="C423" t="str">
            <v>Rue de la Laiterie</v>
          </cell>
          <cell r="D423" t="str">
            <v>Scheut</v>
          </cell>
        </row>
        <row r="424">
          <cell r="C424" t="str">
            <v>Rue de la Pastorale</v>
          </cell>
          <cell r="D424" t="str">
            <v>Scheut</v>
          </cell>
        </row>
        <row r="425">
          <cell r="C425" t="str">
            <v>Rue de la Sincérité</v>
          </cell>
          <cell r="D425" t="str">
            <v>Scheut</v>
          </cell>
        </row>
        <row r="426">
          <cell r="C426" t="str">
            <v>Rue de la Vérité</v>
          </cell>
          <cell r="D426" t="str">
            <v>Scheut</v>
          </cell>
        </row>
        <row r="427">
          <cell r="C427" t="str">
            <v>Rue de l'Agrafe</v>
          </cell>
          <cell r="D427" t="str">
            <v>Scheut</v>
          </cell>
        </row>
        <row r="428">
          <cell r="C428" t="str">
            <v>Rue de l'Aiguille</v>
          </cell>
          <cell r="D428" t="str">
            <v>Scheut</v>
          </cell>
        </row>
        <row r="429">
          <cell r="C429" t="str">
            <v>Rue de l'Emulation</v>
          </cell>
          <cell r="D429" t="str">
            <v>Scheut</v>
          </cell>
        </row>
        <row r="430">
          <cell r="C430" t="str">
            <v>Rue de l'Expansion</v>
          </cell>
          <cell r="D430" t="str">
            <v>Scheut</v>
          </cell>
        </row>
        <row r="431">
          <cell r="C431" t="str">
            <v>Rue de Libre Examen</v>
          </cell>
          <cell r="D431" t="str">
            <v>Scheut</v>
          </cell>
        </row>
        <row r="432">
          <cell r="C432" t="str">
            <v>Rue de l'Obus</v>
          </cell>
          <cell r="D432" t="str">
            <v>Scheut</v>
          </cell>
        </row>
        <row r="433">
          <cell r="C433" t="str">
            <v>Rue de l'Orphelinat</v>
          </cell>
          <cell r="D433" t="str">
            <v>Scheut</v>
          </cell>
        </row>
        <row r="434">
          <cell r="C434" t="str">
            <v>Rue de Sébastopol</v>
          </cell>
          <cell r="D434" t="str">
            <v>Scheut</v>
          </cell>
        </row>
        <row r="435">
          <cell r="C435" t="str">
            <v>Rue Denis Verdonck</v>
          </cell>
          <cell r="D435" t="str">
            <v>Scheut</v>
          </cell>
        </row>
        <row r="436">
          <cell r="C436" t="str">
            <v>Rue des Orchidées</v>
          </cell>
          <cell r="D436" t="str">
            <v>Scheut</v>
          </cell>
        </row>
        <row r="437">
          <cell r="C437" t="str">
            <v>Rue des Parfums</v>
          </cell>
          <cell r="D437" t="str">
            <v>Scheut</v>
          </cell>
        </row>
        <row r="438">
          <cell r="C438" t="str">
            <v>Rue des Tournesols</v>
          </cell>
          <cell r="D438" t="str">
            <v>Scheut</v>
          </cell>
        </row>
        <row r="439">
          <cell r="C439" t="str">
            <v>Rue du Bien-Etre</v>
          </cell>
          <cell r="D439" t="str">
            <v>Scheut</v>
          </cell>
        </row>
        <row r="440">
          <cell r="C440" t="str">
            <v>Rue du Bien-Être</v>
          </cell>
          <cell r="D440" t="str">
            <v>Scheut</v>
          </cell>
        </row>
        <row r="441">
          <cell r="C441" t="str">
            <v>Rue du Bivouac</v>
          </cell>
          <cell r="D441" t="str">
            <v>Scheut</v>
          </cell>
        </row>
        <row r="442">
          <cell r="C442" t="str">
            <v>Rue du Devoir</v>
          </cell>
          <cell r="D442" t="str">
            <v>Scheut</v>
          </cell>
        </row>
        <row r="443">
          <cell r="C443" t="str">
            <v>Rue du Libre Examen</v>
          </cell>
          <cell r="D443" t="str">
            <v>Scheut</v>
          </cell>
        </row>
        <row r="444">
          <cell r="C444" t="str">
            <v>Rue du Souvenir</v>
          </cell>
          <cell r="D444" t="str">
            <v>Scheut</v>
          </cell>
        </row>
        <row r="445">
          <cell r="C445" t="str">
            <v>Rue Edmond Delcourt</v>
          </cell>
          <cell r="D445" t="str">
            <v>Scheut</v>
          </cell>
        </row>
        <row r="446">
          <cell r="C446" t="str">
            <v>Rue Edmond Rostand</v>
          </cell>
          <cell r="D446" t="str">
            <v>Scheut</v>
          </cell>
        </row>
        <row r="447">
          <cell r="C447" t="str">
            <v>Rue Général Ruquoy</v>
          </cell>
          <cell r="D447" t="str">
            <v>Scheut</v>
          </cell>
        </row>
        <row r="448">
          <cell r="C448" t="str">
            <v>Rue Jacques Manne</v>
          </cell>
          <cell r="D448" t="str">
            <v>Scheut</v>
          </cell>
        </row>
        <row r="449">
          <cell r="C449" t="str">
            <v>Rue Jakob Smits</v>
          </cell>
          <cell r="D449" t="str">
            <v>Scheut</v>
          </cell>
        </row>
        <row r="450">
          <cell r="C450" t="str">
            <v>Rue James Ensor</v>
          </cell>
          <cell r="D450" t="str">
            <v>Scheut</v>
          </cell>
        </row>
        <row r="451">
          <cell r="C451" t="str">
            <v>Rue Jean Van Lierde</v>
          </cell>
          <cell r="D451" t="str">
            <v>Scheut</v>
          </cell>
        </row>
        <row r="452">
          <cell r="C452" t="str">
            <v>Rue Joseph Kelchtermans</v>
          </cell>
          <cell r="D452" t="str">
            <v>Scheut</v>
          </cell>
        </row>
        <row r="453">
          <cell r="C453" t="str">
            <v>Rue Joseph Pavez</v>
          </cell>
          <cell r="D453" t="str">
            <v>Scheut</v>
          </cell>
        </row>
        <row r="454">
          <cell r="C454" t="str">
            <v>Rue Jules Broeren</v>
          </cell>
          <cell r="D454" t="str">
            <v>Scheut</v>
          </cell>
        </row>
        <row r="455">
          <cell r="C455" t="str">
            <v>Rue Kinet</v>
          </cell>
          <cell r="D455" t="str">
            <v>Scheut</v>
          </cell>
        </row>
        <row r="456">
          <cell r="C456" t="str">
            <v>Rue Léopold De Swaef</v>
          </cell>
          <cell r="D456" t="str">
            <v>Scheut</v>
          </cell>
        </row>
        <row r="457">
          <cell r="C457" t="str">
            <v>Rue Louis Mascré</v>
          </cell>
          <cell r="D457" t="str">
            <v>Scheut</v>
          </cell>
        </row>
        <row r="458">
          <cell r="C458" t="str">
            <v>Rue Puccini</v>
          </cell>
          <cell r="D458" t="str">
            <v>Scheut</v>
          </cell>
        </row>
        <row r="459">
          <cell r="C459" t="str">
            <v>Rue Romanie Van Dyck</v>
          </cell>
          <cell r="D459" t="str">
            <v>Scheut</v>
          </cell>
        </row>
        <row r="460">
          <cell r="C460" t="str">
            <v>Rue Scheutveld</v>
          </cell>
          <cell r="D460" t="str">
            <v>Scheut</v>
          </cell>
        </row>
        <row r="461">
          <cell r="C461" t="str">
            <v>Rue Sylvain Denayer</v>
          </cell>
          <cell r="D461" t="str">
            <v>Scheut</v>
          </cell>
        </row>
        <row r="462">
          <cell r="C462" t="str">
            <v>Rue Thiernesse</v>
          </cell>
          <cell r="D462" t="str">
            <v>Scheut</v>
          </cell>
        </row>
        <row r="463">
          <cell r="C463" t="str">
            <v>Rue Van Wambeke</v>
          </cell>
          <cell r="D463" t="str">
            <v>Scheut</v>
          </cell>
        </row>
        <row r="464">
          <cell r="C464" t="str">
            <v>Rue Verheyden</v>
          </cell>
          <cell r="D464" t="str">
            <v>Scheut</v>
          </cell>
        </row>
        <row r="465">
          <cell r="C465" t="str">
            <v>Square Atlas</v>
          </cell>
          <cell r="D465" t="str">
            <v>Scheut</v>
          </cell>
        </row>
        <row r="466">
          <cell r="C466" t="str">
            <v>Square des Vétérans Coloniaux</v>
          </cell>
          <cell r="D466" t="str">
            <v>Scheut</v>
          </cell>
        </row>
        <row r="467">
          <cell r="C467" t="str">
            <v>Square Emile Vander Bruggen</v>
          </cell>
          <cell r="D467" t="str">
            <v>Scheut</v>
          </cell>
        </row>
        <row r="468">
          <cell r="C468" t="str">
            <v>Square Henri Rey</v>
          </cell>
          <cell r="D468" t="str">
            <v>Scheut</v>
          </cell>
        </row>
        <row r="469">
          <cell r="C469" t="str">
            <v>Allée de la Villa Romaine</v>
          </cell>
          <cell r="D469" t="str">
            <v>Vaillance</v>
          </cell>
        </row>
        <row r="470">
          <cell r="C470" t="str">
            <v>Avenue Auber</v>
          </cell>
          <cell r="D470" t="str">
            <v>Vaillance</v>
          </cell>
        </row>
        <row r="471">
          <cell r="C471" t="str">
            <v>Avenue Docteur Zamenhof</v>
          </cell>
          <cell r="D471" t="str">
            <v>Vaillance</v>
          </cell>
        </row>
        <row r="472">
          <cell r="C472" t="str">
            <v>Avenue Frans Van Kalken</v>
          </cell>
          <cell r="D472" t="str">
            <v>Vaillance</v>
          </cell>
        </row>
        <row r="473">
          <cell r="C473" t="str">
            <v>Avenue Limbourg</v>
          </cell>
          <cell r="D473" t="str">
            <v>Vaillance</v>
          </cell>
        </row>
        <row r="474">
          <cell r="C474" t="str">
            <v>Avenue Paul Janson</v>
          </cell>
          <cell r="D474" t="str">
            <v>Vaillance</v>
          </cell>
        </row>
        <row r="475">
          <cell r="C475" t="str">
            <v>Avenue Victor et Jules Bertaux</v>
          </cell>
          <cell r="D475" t="str">
            <v>Vaillance</v>
          </cell>
        </row>
        <row r="476">
          <cell r="C476" t="str">
            <v>Avenue Victor Olivier</v>
          </cell>
          <cell r="D476" t="str">
            <v>Vaillance</v>
          </cell>
        </row>
        <row r="477">
          <cell r="C477" t="str">
            <v>Cours Saint-Guidon</v>
          </cell>
          <cell r="D477" t="str">
            <v>Vaillance</v>
          </cell>
        </row>
        <row r="478">
          <cell r="C478" t="str">
            <v>Parc Aurore</v>
          </cell>
          <cell r="D478" t="str">
            <v>Vaillance</v>
          </cell>
        </row>
        <row r="479">
          <cell r="C479" t="str">
            <v>Parc Biestebroeck</v>
          </cell>
          <cell r="D479" t="str">
            <v>Vaillance</v>
          </cell>
        </row>
        <row r="480">
          <cell r="C480" t="str">
            <v>Parc Central</v>
          </cell>
          <cell r="D480" t="str">
            <v>Vaillance</v>
          </cell>
        </row>
        <row r="481">
          <cell r="C481" t="str">
            <v>Parc du Busselenberg</v>
          </cell>
          <cell r="D481" t="str">
            <v>Vaillance</v>
          </cell>
        </row>
        <row r="482">
          <cell r="C482" t="str">
            <v>Place de la Résistance</v>
          </cell>
          <cell r="D482" t="str">
            <v>Vaillance</v>
          </cell>
        </row>
        <row r="483">
          <cell r="C483" t="str">
            <v>Place de la Vaillance</v>
          </cell>
          <cell r="D483" t="str">
            <v>Vaillance</v>
          </cell>
        </row>
        <row r="484">
          <cell r="C484" t="str">
            <v>Quai de Biestebroeck</v>
          </cell>
          <cell r="D484" t="str">
            <v>Vaillance</v>
          </cell>
        </row>
        <row r="485">
          <cell r="C485" t="str">
            <v>Rond-point du Meir</v>
          </cell>
          <cell r="D485" t="str">
            <v>Vaillance</v>
          </cell>
        </row>
        <row r="486">
          <cell r="C486" t="str">
            <v>Rue Brune</v>
          </cell>
          <cell r="D486" t="str">
            <v>Vaillance</v>
          </cell>
        </row>
        <row r="487">
          <cell r="C487" t="str">
            <v>Rue d'Aumale</v>
          </cell>
          <cell r="D487" t="str">
            <v>Vaillance</v>
          </cell>
        </row>
        <row r="488">
          <cell r="C488" t="str">
            <v>Rue de Douvres</v>
          </cell>
          <cell r="D488" t="str">
            <v>Vaillance</v>
          </cell>
        </row>
        <row r="489">
          <cell r="C489" t="str">
            <v>Rue de Formanoir</v>
          </cell>
          <cell r="D489" t="str">
            <v>Vaillance</v>
          </cell>
        </row>
        <row r="490">
          <cell r="C490" t="str">
            <v>Rue de la Conciliation</v>
          </cell>
          <cell r="D490" t="str">
            <v>Vaillance</v>
          </cell>
        </row>
        <row r="491">
          <cell r="C491" t="str">
            <v>Rue de la Démocratie</v>
          </cell>
          <cell r="D491" t="str">
            <v>Vaillance</v>
          </cell>
        </row>
        <row r="492">
          <cell r="C492" t="str">
            <v>Rue de la Gaité</v>
          </cell>
          <cell r="D492" t="str">
            <v>Vaillance</v>
          </cell>
        </row>
        <row r="493">
          <cell r="C493" t="str">
            <v>Rue de la Gaîté</v>
          </cell>
          <cell r="D493" t="str">
            <v>Vaillance</v>
          </cell>
        </row>
        <row r="494">
          <cell r="C494" t="str">
            <v>Rue de la Justice</v>
          </cell>
          <cell r="D494" t="str">
            <v>Vaillance</v>
          </cell>
        </row>
        <row r="495">
          <cell r="C495" t="str">
            <v>Rue de la Procession</v>
          </cell>
          <cell r="D495" t="str">
            <v>Vaillance</v>
          </cell>
        </row>
        <row r="496">
          <cell r="C496" t="str">
            <v>Rue de l'Institut</v>
          </cell>
          <cell r="D496" t="str">
            <v>Vaillance</v>
          </cell>
        </row>
        <row r="497">
          <cell r="C497" t="str">
            <v>Rue de Veeweyde</v>
          </cell>
          <cell r="D497" t="str">
            <v>Vaillance</v>
          </cell>
        </row>
        <row r="498">
          <cell r="C498" t="str">
            <v>Rue des Déportés Anderlechtois</v>
          </cell>
          <cell r="D498" t="str">
            <v>Vaillance</v>
          </cell>
        </row>
        <row r="499">
          <cell r="C499" t="str">
            <v>Rue Docteur Jacobs</v>
          </cell>
          <cell r="D499" t="str">
            <v>Vaillance</v>
          </cell>
        </row>
        <row r="500">
          <cell r="C500" t="str">
            <v>Rue du Bronze</v>
          </cell>
          <cell r="D500" t="str">
            <v>Vaillance</v>
          </cell>
        </row>
        <row r="501">
          <cell r="C501" t="str">
            <v>Rue du Busselenberg</v>
          </cell>
          <cell r="D501" t="str">
            <v>Vaillance</v>
          </cell>
        </row>
        <row r="502">
          <cell r="C502" t="str">
            <v>Rue du Chapitre</v>
          </cell>
          <cell r="D502" t="str">
            <v>Vaillance</v>
          </cell>
        </row>
        <row r="503">
          <cell r="C503" t="str">
            <v>Rue du Drapeau</v>
          </cell>
          <cell r="D503" t="str">
            <v>Vaillance</v>
          </cell>
        </row>
        <row r="504">
          <cell r="C504" t="str">
            <v>Rue du Greffe</v>
          </cell>
          <cell r="D504" t="str">
            <v>Vaillance</v>
          </cell>
        </row>
        <row r="505">
          <cell r="C505" t="str">
            <v>Rue du Prétoire</v>
          </cell>
          <cell r="D505" t="str">
            <v>Vaillance</v>
          </cell>
        </row>
        <row r="506">
          <cell r="C506" t="str">
            <v>Rue du Village</v>
          </cell>
          <cell r="D506" t="str">
            <v>Vaillance</v>
          </cell>
        </row>
        <row r="507">
          <cell r="C507" t="str">
            <v>Rue Érasme</v>
          </cell>
          <cell r="D507" t="str">
            <v>Vaillance</v>
          </cell>
        </row>
        <row r="508">
          <cell r="C508" t="str">
            <v>Rue François Gérard</v>
          </cell>
          <cell r="D508" t="str">
            <v>Vaillance</v>
          </cell>
        </row>
        <row r="509">
          <cell r="C509" t="str">
            <v>Rue François Janssens</v>
          </cell>
          <cell r="D509" t="str">
            <v>Vaillance</v>
          </cell>
        </row>
        <row r="510">
          <cell r="C510" t="str">
            <v>Rue François Ysewyn</v>
          </cell>
          <cell r="D510" t="str">
            <v>Vaillance</v>
          </cell>
        </row>
        <row r="511">
          <cell r="C511" t="str">
            <v>Rue Gustaaf Vanden Berghe</v>
          </cell>
          <cell r="D511" t="str">
            <v>Vaillance</v>
          </cell>
        </row>
        <row r="512">
          <cell r="C512" t="str">
            <v>Rue Henri Vieuxtemps</v>
          </cell>
          <cell r="D512" t="str">
            <v>Vaillance</v>
          </cell>
        </row>
        <row r="513">
          <cell r="C513" t="str">
            <v>Rue Lieutenant Liedel</v>
          </cell>
          <cell r="D513" t="str">
            <v>Vaillance</v>
          </cell>
        </row>
        <row r="514">
          <cell r="C514" t="str">
            <v>Rue Maurice Xhoneux</v>
          </cell>
          <cell r="D514" t="str">
            <v>Vaillance</v>
          </cell>
        </row>
        <row r="515">
          <cell r="C515" t="str">
            <v>Rue Pierre Biddaer</v>
          </cell>
          <cell r="D515" t="str">
            <v>Vaillance</v>
          </cell>
        </row>
        <row r="516">
          <cell r="C516" t="str">
            <v>Rue Pierre Marchant</v>
          </cell>
          <cell r="D516" t="str">
            <v>Vaillance</v>
          </cell>
        </row>
        <row r="517">
          <cell r="C517" t="str">
            <v>Rue Porselein</v>
          </cell>
          <cell r="D517" t="str">
            <v>Vaillance</v>
          </cell>
        </row>
        <row r="518">
          <cell r="C518" t="str">
            <v>Rue Professeur Hendrickx</v>
          </cell>
          <cell r="D518" t="str">
            <v>Vaillance</v>
          </cell>
        </row>
        <row r="519">
          <cell r="C519" t="str">
            <v>Rue Saint-Guidon</v>
          </cell>
          <cell r="D519" t="str">
            <v>Vaillance</v>
          </cell>
        </row>
        <row r="520">
          <cell r="C520" t="str">
            <v>Rue Théodore Bekaert</v>
          </cell>
          <cell r="D520" t="str">
            <v>Vaillance</v>
          </cell>
        </row>
        <row r="521">
          <cell r="C521" t="str">
            <v>Rue Victor Rauter</v>
          </cell>
          <cell r="D521" t="str">
            <v>Vaillance</v>
          </cell>
        </row>
        <row r="522">
          <cell r="C522" t="str">
            <v>Rue Wayez</v>
          </cell>
          <cell r="D522" t="str">
            <v>Vaillance</v>
          </cell>
        </row>
        <row r="523">
          <cell r="C523" t="str">
            <v>Square Elsa Frison</v>
          </cell>
          <cell r="D523" t="str">
            <v>Vaillance</v>
          </cell>
        </row>
        <row r="524">
          <cell r="C524" t="str">
            <v>Boulevard Aristide Briand impair</v>
          </cell>
          <cell r="D524" t="str">
            <v xml:space="preserve">Vaillance </v>
          </cell>
        </row>
        <row r="525">
          <cell r="C525" t="str">
            <v>Chaussée de Mons 453-859/384-810</v>
          </cell>
          <cell r="D525" t="str">
            <v xml:space="preserve">Vaillance </v>
          </cell>
        </row>
        <row r="526">
          <cell r="C526" t="str">
            <v>Place De Linde</v>
          </cell>
          <cell r="D526" t="str">
            <v xml:space="preserve">Vaillance </v>
          </cell>
        </row>
        <row r="527">
          <cell r="C527" t="str">
            <v>Rue du Chapelain</v>
          </cell>
          <cell r="D527" t="str">
            <v xml:space="preserve">Vaillance 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ng.ana@outlook.com" TargetMode="External"/><Relationship Id="rId13" Type="http://schemas.openxmlformats.org/officeDocument/2006/relationships/hyperlink" Target="mailto:mireille@m11.be" TargetMode="External"/><Relationship Id="rId18" Type="http://schemas.openxmlformats.org/officeDocument/2006/relationships/hyperlink" Target="mailto:laurent76bxl@gmail.com" TargetMode="External"/><Relationship Id="rId26" Type="http://schemas.openxmlformats.org/officeDocument/2006/relationships/hyperlink" Target="mailto:ulyenfaure@gmail.com" TargetMode="External"/><Relationship Id="rId3" Type="http://schemas.openxmlformats.org/officeDocument/2006/relationships/hyperlink" Target="mailto:diakiteadma113@gmail.com" TargetMode="External"/><Relationship Id="rId21" Type="http://schemas.openxmlformats.org/officeDocument/2006/relationships/hyperlink" Target="mailto:aliaslisa06@yahoo.fr" TargetMode="External"/><Relationship Id="rId7" Type="http://schemas.openxmlformats.org/officeDocument/2006/relationships/hyperlink" Target="mailto:adakaev@outlook.com" TargetMode="External"/><Relationship Id="rId12" Type="http://schemas.openxmlformats.org/officeDocument/2006/relationships/hyperlink" Target="mailto:adiaratouboly@yahoo.fr" TargetMode="External"/><Relationship Id="rId17" Type="http://schemas.openxmlformats.org/officeDocument/2006/relationships/hyperlink" Target="mailto:basile.bax@gmail.com" TargetMode="External"/><Relationship Id="rId25" Type="http://schemas.openxmlformats.org/officeDocument/2006/relationships/hyperlink" Target="mailto:robinakhan@skynet.be" TargetMode="External"/><Relationship Id="rId2" Type="http://schemas.openxmlformats.org/officeDocument/2006/relationships/hyperlink" Target="mailto:manongambier95@gmail.com" TargetMode="External"/><Relationship Id="rId16" Type="http://schemas.openxmlformats.org/officeDocument/2006/relationships/hyperlink" Target="mailto:marine.perilleux@cpmswl.be" TargetMode="External"/><Relationship Id="rId20" Type="http://schemas.openxmlformats.org/officeDocument/2006/relationships/hyperlink" Target="mailto:octantes@hotmail.com" TargetMode="External"/><Relationship Id="rId29" Type="http://schemas.openxmlformats.org/officeDocument/2006/relationships/hyperlink" Target="mailto:paulemile.baudour@gmail.com" TargetMode="External"/><Relationship Id="rId1" Type="http://schemas.openxmlformats.org/officeDocument/2006/relationships/hyperlink" Target="mailto:theo.wester@gmail.com" TargetMode="External"/><Relationship Id="rId6" Type="http://schemas.openxmlformats.org/officeDocument/2006/relationships/hyperlink" Target="mailto:dani.vdc@live.com" TargetMode="External"/><Relationship Id="rId11" Type="http://schemas.openxmlformats.org/officeDocument/2006/relationships/hyperlink" Target="mailto:himalayancraft4you@gmail.com" TargetMode="External"/><Relationship Id="rId24" Type="http://schemas.openxmlformats.org/officeDocument/2006/relationships/hyperlink" Target="mailto:matei.loredana75@yahoo.com" TargetMode="External"/><Relationship Id="rId5" Type="http://schemas.openxmlformats.org/officeDocument/2006/relationships/hyperlink" Target="mailto:renovaben@yahoo.fr" TargetMode="External"/><Relationship Id="rId15" Type="http://schemas.openxmlformats.org/officeDocument/2006/relationships/hyperlink" Target="mailto:amineabdomalaaine@gmail.com" TargetMode="External"/><Relationship Id="rId23" Type="http://schemas.openxmlformats.org/officeDocument/2006/relationships/hyperlink" Target="mailto:brenda131093@hotmail.fr" TargetMode="External"/><Relationship Id="rId28" Type="http://schemas.openxmlformats.org/officeDocument/2006/relationships/hyperlink" Target="mailto:symphokatabua@yahoo.com" TargetMode="External"/><Relationship Id="rId10" Type="http://schemas.openxmlformats.org/officeDocument/2006/relationships/hyperlink" Target="mailto:seb_kapp@hotmail.com" TargetMode="External"/><Relationship Id="rId19" Type="http://schemas.openxmlformats.org/officeDocument/2006/relationships/hyperlink" Target="mailto:manongambier95@gmail.com" TargetMode="External"/><Relationship Id="rId4" Type="http://schemas.openxmlformats.org/officeDocument/2006/relationships/hyperlink" Target="mailto:emma_zebr@yahoo.fr" TargetMode="External"/><Relationship Id="rId9" Type="http://schemas.openxmlformats.org/officeDocument/2006/relationships/hyperlink" Target="mailto:slaama@abcoop.be" TargetMode="External"/><Relationship Id="rId14" Type="http://schemas.openxmlformats.org/officeDocument/2006/relationships/hyperlink" Target="mailto:ayoub.brxl.be@gmail.com" TargetMode="External"/><Relationship Id="rId22" Type="http://schemas.openxmlformats.org/officeDocument/2006/relationships/hyperlink" Target="mailto:ruaakhale@gmail.com" TargetMode="External"/><Relationship Id="rId27" Type="http://schemas.openxmlformats.org/officeDocument/2006/relationships/hyperlink" Target="mailto:pathebah76@yahoo.be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571C-8B14-4D70-81D7-5E92C493CA82}">
  <dimension ref="A1:AA368"/>
  <sheetViews>
    <sheetView showGridLines="0" tabSelected="1" zoomScale="70" zoomScaleNormal="70" workbookViewId="0">
      <pane xSplit="3" ySplit="2" topLeftCell="D141" activePane="bottomRight" state="frozen"/>
      <selection pane="topRight" activeCell="D1" sqref="D1"/>
      <selection pane="bottomLeft" activeCell="A3" sqref="A3"/>
      <selection pane="bottomRight" activeCell="A165" sqref="A165"/>
    </sheetView>
  </sheetViews>
  <sheetFormatPr baseColWidth="10" defaultColWidth="11.44140625" defaultRowHeight="14.4" x14ac:dyDescent="0.3"/>
  <cols>
    <col min="1" max="1" width="12.6640625" style="75" bestFit="1" customWidth="1"/>
    <col min="2" max="2" width="32" bestFit="1" customWidth="1"/>
    <col min="3" max="3" width="12.5546875" bestFit="1" customWidth="1"/>
    <col min="4" max="4" width="8.109375" bestFit="1" customWidth="1"/>
    <col min="5" max="5" width="13.33203125" bestFit="1" customWidth="1"/>
    <col min="6" max="6" width="35.6640625" bestFit="1" customWidth="1"/>
    <col min="7" max="7" width="6.33203125" bestFit="1" customWidth="1"/>
    <col min="8" max="8" width="10.109375" bestFit="1" customWidth="1"/>
    <col min="9" max="9" width="15" bestFit="1" customWidth="1"/>
    <col min="10" max="10" width="30.5546875" bestFit="1" customWidth="1"/>
    <col min="11" max="11" width="14.6640625" bestFit="1" customWidth="1"/>
    <col min="12" max="12" width="17.5546875" style="76" bestFit="1" customWidth="1"/>
    <col min="13" max="13" width="16.6640625" style="76" bestFit="1" customWidth="1"/>
    <col min="14" max="14" width="18.44140625" bestFit="1" customWidth="1"/>
    <col min="15" max="15" width="14.6640625" style="76" bestFit="1" customWidth="1"/>
    <col min="16" max="16" width="32.44140625" bestFit="1" customWidth="1"/>
    <col min="17" max="17" width="36.88671875" bestFit="1" customWidth="1"/>
    <col min="18" max="18" width="25.44140625" bestFit="1" customWidth="1"/>
    <col min="19" max="19" width="23.6640625" bestFit="1" customWidth="1"/>
    <col min="20" max="20" width="17.88671875" bestFit="1" customWidth="1"/>
    <col min="21" max="21" width="19.6640625" bestFit="1" customWidth="1"/>
    <col min="22" max="22" width="17.5546875" bestFit="1" customWidth="1"/>
    <col min="23" max="23" width="13.88671875" bestFit="1" customWidth="1"/>
    <col min="24" max="24" width="17.88671875" bestFit="1" customWidth="1"/>
    <col min="25" max="25" width="10.33203125" bestFit="1" customWidth="1"/>
    <col min="26" max="26" width="36.88671875" bestFit="1" customWidth="1"/>
  </cols>
  <sheetData>
    <row r="1" spans="1:26" s="74" customFormat="1" x14ac:dyDescent="0.3">
      <c r="A1" s="81"/>
      <c r="B1" s="82"/>
      <c r="C1" s="82"/>
      <c r="D1" s="82"/>
      <c r="E1" s="82"/>
      <c r="F1" s="82"/>
      <c r="G1" s="82"/>
      <c r="H1" s="82"/>
      <c r="I1" s="82"/>
      <c r="J1" s="82"/>
      <c r="K1" s="83" t="s">
        <v>0</v>
      </c>
      <c r="L1" s="83"/>
      <c r="M1" s="83"/>
      <c r="N1" s="83"/>
      <c r="O1" s="83"/>
      <c r="P1" s="86" t="s">
        <v>1</v>
      </c>
      <c r="Q1" s="87"/>
      <c r="R1" s="87"/>
      <c r="S1" s="88"/>
      <c r="T1" s="84" t="s">
        <v>2</v>
      </c>
      <c r="U1" s="84"/>
      <c r="V1" s="84"/>
      <c r="W1" s="84"/>
      <c r="X1" s="84"/>
      <c r="Y1" s="84"/>
      <c r="Z1" s="85"/>
    </row>
    <row r="2" spans="1:26" ht="15" thickBot="1" x14ac:dyDescent="0.35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9" t="s">
        <v>13</v>
      </c>
      <c r="L2" s="77" t="s">
        <v>14</v>
      </c>
      <c r="M2" s="77" t="s">
        <v>15</v>
      </c>
      <c r="N2" s="9" t="s">
        <v>16</v>
      </c>
      <c r="O2" s="77" t="s">
        <v>17</v>
      </c>
      <c r="P2" s="10" t="s">
        <v>18</v>
      </c>
      <c r="Q2" s="10" t="s">
        <v>19</v>
      </c>
      <c r="R2" s="10" t="s">
        <v>20</v>
      </c>
      <c r="S2" s="10" t="s">
        <v>21</v>
      </c>
      <c r="T2" s="11" t="s">
        <v>22</v>
      </c>
      <c r="U2" s="11" t="s">
        <v>21</v>
      </c>
      <c r="V2" s="11" t="s">
        <v>23</v>
      </c>
      <c r="W2" s="11" t="s">
        <v>24</v>
      </c>
      <c r="X2" s="11" t="s">
        <v>21</v>
      </c>
      <c r="Y2" s="11" t="s">
        <v>25</v>
      </c>
      <c r="Z2" s="12" t="s">
        <v>26</v>
      </c>
    </row>
    <row r="3" spans="1:26" x14ac:dyDescent="0.3">
      <c r="A3" s="4">
        <v>1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6" t="str">
        <f>IFERROR(VLOOKUP(F3, Index!C:D, 2, FALSE), "")</f>
        <v>Vaillance</v>
      </c>
      <c r="I3" s="2" t="s">
        <v>33</v>
      </c>
      <c r="J3" s="78" t="s">
        <v>34</v>
      </c>
      <c r="K3" s="1" t="s">
        <v>35</v>
      </c>
      <c r="L3" s="3">
        <v>45663</v>
      </c>
      <c r="M3" s="3">
        <v>45663</v>
      </c>
      <c r="N3" s="1">
        <f t="shared" ref="N3:N6" si="0">IF(OR(L3="", M3=""), "", IF(L3=M3, 1, M3 - L3))</f>
        <v>1</v>
      </c>
      <c r="O3" s="3">
        <v>45665</v>
      </c>
      <c r="P3" s="1" t="s">
        <v>36</v>
      </c>
      <c r="Q3" s="1"/>
      <c r="R3" s="1" t="s">
        <v>37</v>
      </c>
      <c r="S3" s="1"/>
      <c r="T3" s="1" t="s">
        <v>38</v>
      </c>
      <c r="U3" s="1" t="s">
        <v>39</v>
      </c>
      <c r="V3" s="1" t="s">
        <v>40</v>
      </c>
      <c r="W3" s="1" t="s">
        <v>38</v>
      </c>
      <c r="X3" s="1" t="s">
        <v>39</v>
      </c>
      <c r="Y3" s="1" t="s">
        <v>41</v>
      </c>
      <c r="Z3" s="5" t="s">
        <v>42</v>
      </c>
    </row>
    <row r="4" spans="1:26" x14ac:dyDescent="0.3">
      <c r="A4" s="4">
        <v>2</v>
      </c>
      <c r="B4" s="1" t="s">
        <v>43</v>
      </c>
      <c r="C4" s="1" t="s">
        <v>44</v>
      </c>
      <c r="D4" s="1" t="s">
        <v>29</v>
      </c>
      <c r="E4" s="1" t="s">
        <v>30</v>
      </c>
      <c r="F4" s="1" t="s">
        <v>45</v>
      </c>
      <c r="G4" s="1">
        <v>707</v>
      </c>
      <c r="H4" s="6" t="str">
        <f>IFERROR(VLOOKUP(F4, Index!C:D, 2, FALSE), "")</f>
        <v>Peterbos</v>
      </c>
      <c r="I4" s="2" t="s">
        <v>46</v>
      </c>
      <c r="J4" s="1"/>
      <c r="K4" s="1" t="s">
        <v>47</v>
      </c>
      <c r="L4" s="3">
        <v>45666</v>
      </c>
      <c r="M4" s="3">
        <v>45671</v>
      </c>
      <c r="N4" s="1">
        <f t="shared" si="0"/>
        <v>5</v>
      </c>
      <c r="O4" s="3">
        <v>45770</v>
      </c>
      <c r="P4" s="1" t="s">
        <v>48</v>
      </c>
      <c r="Q4" s="1"/>
      <c r="R4" s="1" t="s">
        <v>49</v>
      </c>
      <c r="S4" s="1"/>
      <c r="T4" s="1"/>
      <c r="U4" s="1"/>
      <c r="V4" s="1" t="s">
        <v>40</v>
      </c>
      <c r="W4" s="1"/>
      <c r="X4" s="1"/>
      <c r="Y4" s="1" t="s">
        <v>41</v>
      </c>
      <c r="Z4" s="5" t="s">
        <v>50</v>
      </c>
    </row>
    <row r="5" spans="1:26" x14ac:dyDescent="0.3">
      <c r="A5" s="4">
        <v>3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>
        <v>190</v>
      </c>
      <c r="H5" s="6" t="str">
        <f>IFERROR(VLOOKUP(F5, Index!C:D, 2, FALSE), "")</f>
        <v>Cureghem</v>
      </c>
      <c r="I5" s="2" t="s">
        <v>56</v>
      </c>
      <c r="J5" s="78" t="s">
        <v>57</v>
      </c>
      <c r="K5" s="1" t="s">
        <v>47</v>
      </c>
      <c r="L5" s="3">
        <v>45664</v>
      </c>
      <c r="M5" s="3">
        <v>45666</v>
      </c>
      <c r="N5" s="1">
        <f t="shared" si="0"/>
        <v>2</v>
      </c>
      <c r="O5" s="3">
        <v>45692</v>
      </c>
      <c r="P5" s="1" t="s">
        <v>58</v>
      </c>
      <c r="Q5" s="1" t="s">
        <v>59</v>
      </c>
      <c r="R5" s="1" t="s">
        <v>60</v>
      </c>
      <c r="S5" s="1"/>
      <c r="T5" s="1" t="s">
        <v>38</v>
      </c>
      <c r="U5" s="1" t="s">
        <v>61</v>
      </c>
      <c r="V5" s="1" t="s">
        <v>40</v>
      </c>
      <c r="W5" s="1"/>
      <c r="X5" s="1"/>
      <c r="Y5" s="1" t="s">
        <v>41</v>
      </c>
      <c r="Z5" s="5" t="s">
        <v>62</v>
      </c>
    </row>
    <row r="6" spans="1:26" x14ac:dyDescent="0.3">
      <c r="A6" s="4">
        <v>4</v>
      </c>
      <c r="B6" s="1" t="s">
        <v>63</v>
      </c>
      <c r="C6" s="1" t="s">
        <v>64</v>
      </c>
      <c r="D6" s="1" t="s">
        <v>53</v>
      </c>
      <c r="E6" s="1"/>
      <c r="F6" s="1"/>
      <c r="G6" s="1"/>
      <c r="H6" s="6" t="str">
        <f>IFERROR(VLOOKUP(F6, Index!C:D, 2, FALSE), "")</f>
        <v/>
      </c>
      <c r="I6" s="2"/>
      <c r="J6" s="78" t="s">
        <v>65</v>
      </c>
      <c r="K6" s="1" t="s">
        <v>47</v>
      </c>
      <c r="L6" s="3">
        <v>45646</v>
      </c>
      <c r="M6" s="3">
        <v>45659</v>
      </c>
      <c r="N6" s="1">
        <f t="shared" si="0"/>
        <v>13</v>
      </c>
      <c r="O6" s="3"/>
      <c r="P6" s="1" t="s">
        <v>36</v>
      </c>
      <c r="Q6" s="1"/>
      <c r="R6" s="1" t="s">
        <v>37</v>
      </c>
      <c r="S6" s="1"/>
      <c r="T6" s="1"/>
      <c r="U6" s="1"/>
      <c r="V6" s="1" t="s">
        <v>40</v>
      </c>
      <c r="W6" s="1"/>
      <c r="X6" s="1"/>
      <c r="Y6" s="1" t="s">
        <v>41</v>
      </c>
      <c r="Z6" s="5" t="s">
        <v>66</v>
      </c>
    </row>
    <row r="7" spans="1:26" x14ac:dyDescent="0.3">
      <c r="A7" s="4">
        <v>5</v>
      </c>
      <c r="B7" s="1" t="s">
        <v>67</v>
      </c>
      <c r="C7" s="1" t="s">
        <v>68</v>
      </c>
      <c r="D7" s="1" t="s">
        <v>53</v>
      </c>
      <c r="E7" s="1" t="s">
        <v>30</v>
      </c>
      <c r="F7" s="1"/>
      <c r="G7" s="1"/>
      <c r="H7" s="6" t="str">
        <f>IFERROR(VLOOKUP(F7, Index!C:D, 2, FALSE), "")</f>
        <v/>
      </c>
      <c r="I7" s="2" t="s">
        <v>69</v>
      </c>
      <c r="J7" s="78" t="s">
        <v>70</v>
      </c>
      <c r="K7" s="1" t="s">
        <v>47</v>
      </c>
      <c r="L7" s="3">
        <v>45644</v>
      </c>
      <c r="M7" s="3">
        <v>45666</v>
      </c>
      <c r="N7" s="1">
        <f t="shared" ref="N7:N64" si="1">IF(OR(L7="", M7=""), "", IF(L7=M7, 1, M7 - L7))</f>
        <v>22</v>
      </c>
      <c r="O7" s="3">
        <v>45749</v>
      </c>
      <c r="P7" s="1" t="s">
        <v>71</v>
      </c>
      <c r="Q7" s="1" t="s">
        <v>72</v>
      </c>
      <c r="R7" s="1" t="s">
        <v>60</v>
      </c>
      <c r="S7" s="1"/>
      <c r="T7" s="1" t="s">
        <v>73</v>
      </c>
      <c r="U7" s="1"/>
      <c r="V7" s="1" t="s">
        <v>40</v>
      </c>
      <c r="W7" s="1" t="s">
        <v>38</v>
      </c>
      <c r="X7" s="1" t="s">
        <v>74</v>
      </c>
      <c r="Y7" s="1" t="s">
        <v>41</v>
      </c>
      <c r="Z7" s="5" t="s">
        <v>62</v>
      </c>
    </row>
    <row r="8" spans="1:26" x14ac:dyDescent="0.3">
      <c r="A8" s="4">
        <v>6</v>
      </c>
      <c r="B8" s="1" t="s">
        <v>75</v>
      </c>
      <c r="C8" s="1" t="s">
        <v>76</v>
      </c>
      <c r="D8" s="1" t="s">
        <v>29</v>
      </c>
      <c r="E8" s="1" t="s">
        <v>30</v>
      </c>
      <c r="F8" s="1" t="s">
        <v>77</v>
      </c>
      <c r="G8" s="1">
        <v>105</v>
      </c>
      <c r="H8" s="6" t="str">
        <f>IFERROR(VLOOKUP(F8, Index!C:D, 2, FALSE), "")</f>
        <v>Parc</v>
      </c>
      <c r="I8" s="2" t="s">
        <v>78</v>
      </c>
      <c r="J8" s="1"/>
      <c r="K8" s="1" t="s">
        <v>47</v>
      </c>
      <c r="L8" s="3">
        <v>45639</v>
      </c>
      <c r="M8" s="3">
        <v>45660</v>
      </c>
      <c r="N8" s="1">
        <f t="shared" si="1"/>
        <v>21</v>
      </c>
      <c r="O8" s="3">
        <v>45666</v>
      </c>
      <c r="P8" s="1" t="s">
        <v>58</v>
      </c>
      <c r="Q8" s="1" t="s">
        <v>59</v>
      </c>
      <c r="R8" s="1" t="s">
        <v>60</v>
      </c>
      <c r="S8" s="1"/>
      <c r="T8" s="1"/>
      <c r="U8" s="1"/>
      <c r="V8" s="1" t="s">
        <v>40</v>
      </c>
      <c r="W8" s="1"/>
      <c r="X8" s="1"/>
      <c r="Y8" s="1" t="s">
        <v>41</v>
      </c>
      <c r="Z8" s="5" t="s">
        <v>50</v>
      </c>
    </row>
    <row r="9" spans="1:26" x14ac:dyDescent="0.3">
      <c r="A9" s="4">
        <v>7</v>
      </c>
      <c r="B9" s="1" t="s">
        <v>79</v>
      </c>
      <c r="C9" s="1" t="s">
        <v>80</v>
      </c>
      <c r="D9" s="1" t="s">
        <v>29</v>
      </c>
      <c r="E9" s="1"/>
      <c r="F9" s="1" t="s">
        <v>81</v>
      </c>
      <c r="G9" s="1">
        <v>26</v>
      </c>
      <c r="H9" s="6" t="str">
        <f>IFERROR(VLOOKUP(F9, Index!C:D, 2, FALSE), "")</f>
        <v>Vaillance</v>
      </c>
      <c r="I9" s="2" t="s">
        <v>82</v>
      </c>
      <c r="J9" s="78" t="s">
        <v>83</v>
      </c>
      <c r="K9" s="1" t="s">
        <v>47</v>
      </c>
      <c r="L9" s="3">
        <v>45642</v>
      </c>
      <c r="M9" s="3">
        <v>45665</v>
      </c>
      <c r="N9" s="1">
        <f t="shared" si="1"/>
        <v>23</v>
      </c>
      <c r="O9" s="3"/>
      <c r="P9" s="1" t="s">
        <v>58</v>
      </c>
      <c r="Q9" s="1"/>
      <c r="R9" s="1" t="s">
        <v>37</v>
      </c>
      <c r="S9" s="1"/>
      <c r="T9" s="1"/>
      <c r="U9" s="1"/>
      <c r="V9" s="1" t="s">
        <v>40</v>
      </c>
      <c r="W9" s="1"/>
      <c r="X9" s="1"/>
      <c r="Y9" s="1" t="s">
        <v>41</v>
      </c>
      <c r="Z9" s="5" t="s">
        <v>66</v>
      </c>
    </row>
    <row r="10" spans="1:26" x14ac:dyDescent="0.3">
      <c r="A10" s="4">
        <v>8</v>
      </c>
      <c r="B10" s="1" t="s">
        <v>84</v>
      </c>
      <c r="C10" s="1" t="s">
        <v>85</v>
      </c>
      <c r="D10" s="1" t="s">
        <v>29</v>
      </c>
      <c r="E10" s="1" t="s">
        <v>30</v>
      </c>
      <c r="F10" s="1" t="s">
        <v>86</v>
      </c>
      <c r="G10" s="1"/>
      <c r="H10" s="6" t="str">
        <f>IFERROR(VLOOKUP(F10, Index!C:D, 2, FALSE), "")</f>
        <v>SECTEUR</v>
      </c>
      <c r="I10" s="2" t="s">
        <v>87</v>
      </c>
      <c r="J10" s="78" t="s">
        <v>88</v>
      </c>
      <c r="K10" s="1" t="s">
        <v>89</v>
      </c>
      <c r="L10" s="3">
        <v>45664</v>
      </c>
      <c r="M10" s="3">
        <v>45664</v>
      </c>
      <c r="N10" s="1">
        <f t="shared" si="1"/>
        <v>1</v>
      </c>
      <c r="O10" s="3">
        <v>45665</v>
      </c>
      <c r="P10" s="1" t="s">
        <v>58</v>
      </c>
      <c r="Q10" s="1"/>
      <c r="R10" s="1" t="s">
        <v>37</v>
      </c>
      <c r="S10" s="1"/>
      <c r="T10" s="1"/>
      <c r="U10" s="1"/>
      <c r="V10" s="1" t="s">
        <v>40</v>
      </c>
      <c r="W10" s="1"/>
      <c r="X10" s="1"/>
      <c r="Y10" s="1" t="s">
        <v>41</v>
      </c>
      <c r="Z10" s="5" t="s">
        <v>62</v>
      </c>
    </row>
    <row r="11" spans="1:26" x14ac:dyDescent="0.3">
      <c r="A11" s="4">
        <v>9</v>
      </c>
      <c r="B11" s="1"/>
      <c r="C11" s="1"/>
      <c r="D11" s="1" t="s">
        <v>53</v>
      </c>
      <c r="E11" s="1" t="s">
        <v>90</v>
      </c>
      <c r="F11" s="1" t="s">
        <v>91</v>
      </c>
      <c r="G11" s="1"/>
      <c r="H11" s="6" t="str">
        <f>IFERROR(VLOOKUP(F11, Index!C:D, 2, FALSE), "")</f>
        <v>Peterbos</v>
      </c>
      <c r="I11" s="2"/>
      <c r="J11" s="1"/>
      <c r="K11" s="1" t="s">
        <v>35</v>
      </c>
      <c r="L11" s="3">
        <v>45663</v>
      </c>
      <c r="M11" s="3">
        <v>45663</v>
      </c>
      <c r="N11" s="1">
        <f t="shared" si="1"/>
        <v>1</v>
      </c>
      <c r="O11" s="3">
        <v>45713</v>
      </c>
      <c r="P11" s="1" t="s">
        <v>58</v>
      </c>
      <c r="Q11" s="1" t="s">
        <v>92</v>
      </c>
      <c r="R11" s="1" t="s">
        <v>37</v>
      </c>
      <c r="S11" s="1"/>
      <c r="T11" s="1"/>
      <c r="U11" s="1"/>
      <c r="V11" s="1" t="s">
        <v>40</v>
      </c>
      <c r="W11" s="1"/>
      <c r="X11" s="1"/>
      <c r="Y11" s="1" t="s">
        <v>41</v>
      </c>
      <c r="Z11" s="5" t="s">
        <v>66</v>
      </c>
    </row>
    <row r="12" spans="1:26" x14ac:dyDescent="0.3">
      <c r="A12" s="4">
        <v>10</v>
      </c>
      <c r="B12" s="1"/>
      <c r="C12" s="1"/>
      <c r="D12" s="1" t="s">
        <v>29</v>
      </c>
      <c r="E12" s="1" t="s">
        <v>30</v>
      </c>
      <c r="F12" s="1" t="s">
        <v>93</v>
      </c>
      <c r="G12" s="1">
        <v>28</v>
      </c>
      <c r="H12" s="6" t="str">
        <f>IFERROR(VLOOKUP(F12, Index!C:D, 2, FALSE), "")</f>
        <v>Cureghem</v>
      </c>
      <c r="I12" s="2"/>
      <c r="J12" s="1"/>
      <c r="K12" s="1" t="s">
        <v>35</v>
      </c>
      <c r="L12" s="3">
        <v>45664</v>
      </c>
      <c r="M12" s="3">
        <v>45664</v>
      </c>
      <c r="N12" s="1">
        <f t="shared" si="1"/>
        <v>1</v>
      </c>
      <c r="O12" s="3">
        <v>45713</v>
      </c>
      <c r="P12" s="1" t="s">
        <v>58</v>
      </c>
      <c r="Q12" s="1" t="s">
        <v>59</v>
      </c>
      <c r="R12" s="1" t="s">
        <v>37</v>
      </c>
      <c r="S12" s="1"/>
      <c r="T12" s="1"/>
      <c r="U12" s="1"/>
      <c r="V12" s="1" t="s">
        <v>40</v>
      </c>
      <c r="W12" s="1"/>
      <c r="X12" s="1"/>
      <c r="Y12" s="1" t="s">
        <v>41</v>
      </c>
      <c r="Z12" s="5" t="s">
        <v>66</v>
      </c>
    </row>
    <row r="13" spans="1:26" x14ac:dyDescent="0.3">
      <c r="A13" s="4">
        <v>11</v>
      </c>
      <c r="B13" s="1" t="s">
        <v>94</v>
      </c>
      <c r="C13" s="1"/>
      <c r="D13" s="1" t="s">
        <v>29</v>
      </c>
      <c r="E13" s="1"/>
      <c r="F13" s="1" t="s">
        <v>86</v>
      </c>
      <c r="G13" s="1"/>
      <c r="H13" s="6" t="str">
        <f>IFERROR(VLOOKUP(F13, Index!C:D, 2, FALSE), "")</f>
        <v>SECTEUR</v>
      </c>
      <c r="I13" s="2"/>
      <c r="J13" s="78" t="s">
        <v>95</v>
      </c>
      <c r="K13" s="1" t="s">
        <v>35</v>
      </c>
      <c r="L13" s="3">
        <v>45664</v>
      </c>
      <c r="M13" s="3">
        <v>45664</v>
      </c>
      <c r="N13" s="1">
        <f t="shared" si="1"/>
        <v>1</v>
      </c>
      <c r="O13" s="3">
        <v>45664</v>
      </c>
      <c r="P13" s="1" t="s">
        <v>71</v>
      </c>
      <c r="Q13" s="1" t="s">
        <v>96</v>
      </c>
      <c r="R13" s="1" t="s">
        <v>37</v>
      </c>
      <c r="S13" s="1"/>
      <c r="T13" s="1"/>
      <c r="U13" s="1"/>
      <c r="V13" s="1" t="s">
        <v>40</v>
      </c>
      <c r="W13" s="1" t="s">
        <v>38</v>
      </c>
      <c r="X13" s="1" t="s">
        <v>97</v>
      </c>
      <c r="Y13" s="1" t="s">
        <v>41</v>
      </c>
      <c r="Z13" s="5" t="s">
        <v>42</v>
      </c>
    </row>
    <row r="14" spans="1:26" x14ac:dyDescent="0.3">
      <c r="A14" s="4">
        <v>12</v>
      </c>
      <c r="B14" s="1" t="s">
        <v>98</v>
      </c>
      <c r="C14" s="1" t="s">
        <v>99</v>
      </c>
      <c r="D14" s="1" t="s">
        <v>29</v>
      </c>
      <c r="E14" s="1" t="s">
        <v>30</v>
      </c>
      <c r="F14" s="1" t="s">
        <v>100</v>
      </c>
      <c r="G14" s="1">
        <v>1</v>
      </c>
      <c r="H14" s="6" t="str">
        <f>IFERROR(VLOOKUP(F14, Index!C:D, 2, FALSE), "")</f>
        <v>Scheut</v>
      </c>
      <c r="I14" s="2" t="s">
        <v>101</v>
      </c>
      <c r="J14" s="1"/>
      <c r="K14" s="1" t="s">
        <v>35</v>
      </c>
      <c r="L14" s="3">
        <v>45666</v>
      </c>
      <c r="M14" s="3">
        <v>45671</v>
      </c>
      <c r="N14" s="1">
        <f t="shared" si="1"/>
        <v>5</v>
      </c>
      <c r="O14" s="3">
        <v>45939</v>
      </c>
      <c r="P14" s="1" t="s">
        <v>58</v>
      </c>
      <c r="Q14" s="1"/>
      <c r="R14" s="1" t="s">
        <v>37</v>
      </c>
      <c r="S14" s="1"/>
      <c r="T14" s="1"/>
      <c r="U14" s="1"/>
      <c r="V14" s="1" t="s">
        <v>40</v>
      </c>
      <c r="W14" s="1" t="s">
        <v>73</v>
      </c>
      <c r="X14" s="1" t="s">
        <v>102</v>
      </c>
      <c r="Y14" s="1" t="s">
        <v>41</v>
      </c>
      <c r="Z14" s="5" t="s">
        <v>42</v>
      </c>
    </row>
    <row r="15" spans="1:26" x14ac:dyDescent="0.3">
      <c r="A15" s="4">
        <v>13</v>
      </c>
      <c r="B15" s="1" t="s">
        <v>103</v>
      </c>
      <c r="C15" s="1" t="s">
        <v>104</v>
      </c>
      <c r="D15" s="1" t="s">
        <v>29</v>
      </c>
      <c r="E15" s="1" t="s">
        <v>30</v>
      </c>
      <c r="F15" s="1" t="s">
        <v>105</v>
      </c>
      <c r="G15" s="1">
        <v>33</v>
      </c>
      <c r="H15" s="6" t="str">
        <f>IFERROR(VLOOKUP(F15, Index!C:D, 2, FALSE), "")</f>
        <v>Scheut</v>
      </c>
      <c r="I15" s="2" t="s">
        <v>106</v>
      </c>
      <c r="J15" s="1"/>
      <c r="K15" s="1" t="s">
        <v>47</v>
      </c>
      <c r="L15" s="3">
        <v>45673</v>
      </c>
      <c r="M15" s="3">
        <v>45673</v>
      </c>
      <c r="N15" s="1">
        <f t="shared" si="1"/>
        <v>1</v>
      </c>
      <c r="O15" s="3">
        <v>45761</v>
      </c>
      <c r="P15" s="1" t="s">
        <v>58</v>
      </c>
      <c r="Q15" s="1"/>
      <c r="R15" s="1" t="s">
        <v>60</v>
      </c>
      <c r="S15" s="1"/>
      <c r="T15" s="1" t="s">
        <v>107</v>
      </c>
      <c r="U15" s="1"/>
      <c r="V15" s="1" t="s">
        <v>40</v>
      </c>
      <c r="W15" s="1"/>
      <c r="X15" s="1"/>
      <c r="Y15" s="1" t="s">
        <v>41</v>
      </c>
      <c r="Z15" s="5" t="s">
        <v>108</v>
      </c>
    </row>
    <row r="16" spans="1:26" x14ac:dyDescent="0.3">
      <c r="A16" s="4">
        <v>14</v>
      </c>
      <c r="B16" s="1" t="s">
        <v>109</v>
      </c>
      <c r="C16" s="1" t="s">
        <v>110</v>
      </c>
      <c r="D16" s="1" t="s">
        <v>53</v>
      </c>
      <c r="E16" s="1" t="s">
        <v>30</v>
      </c>
      <c r="F16" s="1" t="s">
        <v>86</v>
      </c>
      <c r="G16" s="1"/>
      <c r="H16" s="6" t="str">
        <f>IFERROR(VLOOKUP(F16, Index!C:D, 2, FALSE), "")</f>
        <v>SECTEUR</v>
      </c>
      <c r="I16" s="2" t="s">
        <v>111</v>
      </c>
      <c r="J16" s="78" t="s">
        <v>112</v>
      </c>
      <c r="K16" s="1" t="s">
        <v>89</v>
      </c>
      <c r="L16" s="3">
        <v>45665</v>
      </c>
      <c r="M16" s="3">
        <v>45665</v>
      </c>
      <c r="N16" s="1">
        <f t="shared" si="1"/>
        <v>1</v>
      </c>
      <c r="O16" s="3">
        <v>45665</v>
      </c>
      <c r="P16" s="1" t="s">
        <v>36</v>
      </c>
      <c r="Q16" s="1" t="s">
        <v>113</v>
      </c>
      <c r="R16" s="1" t="s">
        <v>37</v>
      </c>
      <c r="S16" s="1"/>
      <c r="T16" s="1"/>
      <c r="U16" s="1"/>
      <c r="V16" s="1" t="s">
        <v>40</v>
      </c>
      <c r="W16" s="1"/>
      <c r="X16" s="1"/>
      <c r="Y16" s="1" t="s">
        <v>41</v>
      </c>
      <c r="Z16" s="5" t="s">
        <v>62</v>
      </c>
    </row>
    <row r="17" spans="1:26" x14ac:dyDescent="0.3">
      <c r="A17" s="4">
        <v>15</v>
      </c>
      <c r="B17" s="1" t="s">
        <v>114</v>
      </c>
      <c r="C17" s="1" t="s">
        <v>115</v>
      </c>
      <c r="D17" s="1" t="s">
        <v>29</v>
      </c>
      <c r="E17" s="1" t="s">
        <v>30</v>
      </c>
      <c r="F17" s="1" t="s">
        <v>86</v>
      </c>
      <c r="G17" s="1"/>
      <c r="H17" s="6" t="str">
        <f>IFERROR(VLOOKUP(F17, Index!C:D, 2, FALSE), "")</f>
        <v>SECTEUR</v>
      </c>
      <c r="I17" s="2" t="s">
        <v>116</v>
      </c>
      <c r="J17" s="1"/>
      <c r="K17" s="1" t="s">
        <v>89</v>
      </c>
      <c r="L17" s="3">
        <v>45664</v>
      </c>
      <c r="M17" s="3">
        <v>45672</v>
      </c>
      <c r="N17" s="1">
        <f t="shared" si="1"/>
        <v>8</v>
      </c>
      <c r="O17" s="3">
        <v>45672</v>
      </c>
      <c r="P17" s="1" t="s">
        <v>117</v>
      </c>
      <c r="Q17" s="1" t="s">
        <v>118</v>
      </c>
      <c r="R17" s="1" t="s">
        <v>37</v>
      </c>
      <c r="S17" s="1"/>
      <c r="T17" s="1"/>
      <c r="U17" s="1"/>
      <c r="V17" s="1" t="s">
        <v>40</v>
      </c>
      <c r="W17" s="1"/>
      <c r="X17" s="1"/>
      <c r="Y17" s="1" t="s">
        <v>41</v>
      </c>
      <c r="Z17" s="5" t="s">
        <v>42</v>
      </c>
    </row>
    <row r="18" spans="1:26" x14ac:dyDescent="0.3">
      <c r="A18" s="4">
        <v>16</v>
      </c>
      <c r="B18" s="1" t="s">
        <v>119</v>
      </c>
      <c r="C18" s="1" t="s">
        <v>120</v>
      </c>
      <c r="D18" s="1" t="s">
        <v>53</v>
      </c>
      <c r="E18" s="1"/>
      <c r="F18" s="1" t="s">
        <v>86</v>
      </c>
      <c r="G18" s="1"/>
      <c r="H18" s="6" t="str">
        <f>IFERROR(VLOOKUP(F18, Index!C:D, 2, FALSE), "")</f>
        <v>SECTEUR</v>
      </c>
      <c r="I18" s="2" t="s">
        <v>121</v>
      </c>
      <c r="J18" s="1"/>
      <c r="K18" s="1" t="s">
        <v>89</v>
      </c>
      <c r="L18" s="3">
        <v>45660</v>
      </c>
      <c r="M18" s="3">
        <v>45660</v>
      </c>
      <c r="N18" s="1">
        <f t="shared" si="1"/>
        <v>1</v>
      </c>
      <c r="O18" s="3">
        <v>45965</v>
      </c>
      <c r="P18" s="1" t="s">
        <v>117</v>
      </c>
      <c r="Q18" s="1" t="s">
        <v>122</v>
      </c>
      <c r="R18" s="1" t="s">
        <v>37</v>
      </c>
      <c r="S18" s="1"/>
      <c r="T18" s="1"/>
      <c r="U18" s="1"/>
      <c r="V18" s="1" t="s">
        <v>40</v>
      </c>
      <c r="W18" s="1"/>
      <c r="X18" s="1"/>
      <c r="Y18" s="1" t="s">
        <v>41</v>
      </c>
      <c r="Z18" s="5" t="s">
        <v>62</v>
      </c>
    </row>
    <row r="19" spans="1:26" x14ac:dyDescent="0.3">
      <c r="A19" s="4">
        <v>17</v>
      </c>
      <c r="B19" s="1" t="s">
        <v>123</v>
      </c>
      <c r="C19" s="1" t="s">
        <v>124</v>
      </c>
      <c r="D19" s="1" t="s">
        <v>29</v>
      </c>
      <c r="E19" s="1" t="s">
        <v>30</v>
      </c>
      <c r="F19" s="1" t="s">
        <v>86</v>
      </c>
      <c r="G19" s="1"/>
      <c r="H19" s="6" t="str">
        <f>IFERROR(VLOOKUP(F19, Index!C:D, 2, FALSE), "")</f>
        <v>SECTEUR</v>
      </c>
      <c r="I19" s="2" t="s">
        <v>125</v>
      </c>
      <c r="J19" s="78" t="s">
        <v>126</v>
      </c>
      <c r="K19" s="1" t="s">
        <v>89</v>
      </c>
      <c r="L19" s="3">
        <v>45673</v>
      </c>
      <c r="M19" s="3">
        <v>45673</v>
      </c>
      <c r="N19" s="1">
        <f t="shared" si="1"/>
        <v>1</v>
      </c>
      <c r="O19" s="3"/>
      <c r="P19" s="1" t="s">
        <v>58</v>
      </c>
      <c r="Q19" s="1"/>
      <c r="R19" s="1" t="s">
        <v>37</v>
      </c>
      <c r="S19" s="1"/>
      <c r="T19" s="1"/>
      <c r="U19" s="1"/>
      <c r="V19" s="1" t="s">
        <v>40</v>
      </c>
      <c r="W19" s="1"/>
      <c r="X19" s="1"/>
      <c r="Y19" s="1" t="s">
        <v>41</v>
      </c>
      <c r="Z19" s="5"/>
    </row>
    <row r="20" spans="1:26" x14ac:dyDescent="0.3">
      <c r="A20" s="4">
        <v>18</v>
      </c>
      <c r="B20" s="1" t="s">
        <v>127</v>
      </c>
      <c r="C20" s="1" t="s">
        <v>128</v>
      </c>
      <c r="D20" s="1" t="s">
        <v>29</v>
      </c>
      <c r="E20" s="1" t="s">
        <v>90</v>
      </c>
      <c r="F20" s="1" t="s">
        <v>86</v>
      </c>
      <c r="G20" s="1"/>
      <c r="H20" s="6" t="str">
        <f>IFERROR(VLOOKUP(F20, Index!C:D, 2, FALSE), "")</f>
        <v>SECTEUR</v>
      </c>
      <c r="I20" s="2" t="s">
        <v>129</v>
      </c>
      <c r="J20" s="1"/>
      <c r="K20" s="1" t="s">
        <v>89</v>
      </c>
      <c r="L20" s="3">
        <v>45665</v>
      </c>
      <c r="M20" s="3">
        <v>45665</v>
      </c>
      <c r="N20" s="1">
        <f t="shared" si="1"/>
        <v>1</v>
      </c>
      <c r="O20" s="3">
        <v>45665</v>
      </c>
      <c r="P20" s="1" t="s">
        <v>71</v>
      </c>
      <c r="Q20" s="1" t="s">
        <v>130</v>
      </c>
      <c r="R20" s="1" t="s">
        <v>37</v>
      </c>
      <c r="S20" s="1"/>
      <c r="T20" s="1"/>
      <c r="U20" s="1"/>
      <c r="V20" s="1" t="s">
        <v>40</v>
      </c>
      <c r="W20" s="1"/>
      <c r="X20" s="1"/>
      <c r="Y20" s="1" t="s">
        <v>41</v>
      </c>
      <c r="Z20" s="5" t="s">
        <v>42</v>
      </c>
    </row>
    <row r="21" spans="1:26" x14ac:dyDescent="0.3">
      <c r="A21" s="4">
        <v>19</v>
      </c>
      <c r="B21" s="1"/>
      <c r="C21" s="1"/>
      <c r="D21" s="1" t="s">
        <v>53</v>
      </c>
      <c r="E21" s="1" t="s">
        <v>90</v>
      </c>
      <c r="F21" s="1" t="s">
        <v>131</v>
      </c>
      <c r="G21" s="1">
        <v>72</v>
      </c>
      <c r="H21" s="6" t="str">
        <f>IFERROR(VLOOKUP(F21, Index!C:D, 2, FALSE), "")</f>
        <v>Parc</v>
      </c>
      <c r="I21" s="2"/>
      <c r="J21" s="1"/>
      <c r="K21" s="1" t="s">
        <v>35</v>
      </c>
      <c r="L21" s="3">
        <v>45685</v>
      </c>
      <c r="M21" s="3">
        <v>45685</v>
      </c>
      <c r="N21" s="1">
        <f t="shared" si="1"/>
        <v>1</v>
      </c>
      <c r="O21" s="3">
        <v>45685</v>
      </c>
      <c r="P21" s="1" t="s">
        <v>36</v>
      </c>
      <c r="Q21" s="1"/>
      <c r="R21" s="1" t="s">
        <v>132</v>
      </c>
      <c r="S21" s="1" t="s">
        <v>133</v>
      </c>
      <c r="T21" s="1"/>
      <c r="U21" s="1"/>
      <c r="V21" s="1" t="s">
        <v>40</v>
      </c>
      <c r="W21" s="1"/>
      <c r="X21" s="1"/>
      <c r="Y21" s="1" t="s">
        <v>41</v>
      </c>
      <c r="Z21" s="5" t="s">
        <v>134</v>
      </c>
    </row>
    <row r="22" spans="1:26" x14ac:dyDescent="0.3">
      <c r="A22" s="4">
        <v>20</v>
      </c>
      <c r="B22" s="1"/>
      <c r="C22" s="1"/>
      <c r="D22" s="1" t="s">
        <v>53</v>
      </c>
      <c r="E22" s="1" t="s">
        <v>90</v>
      </c>
      <c r="F22" s="1" t="s">
        <v>86</v>
      </c>
      <c r="G22" s="1"/>
      <c r="H22" s="6" t="str">
        <f>IFERROR(VLOOKUP(F22, Index!C:D, 2, FALSE), "")</f>
        <v>SECTEUR</v>
      </c>
      <c r="I22" s="2"/>
      <c r="J22" s="1"/>
      <c r="K22" s="1" t="s">
        <v>35</v>
      </c>
      <c r="L22" s="3">
        <v>45685</v>
      </c>
      <c r="M22" s="3">
        <v>45685</v>
      </c>
      <c r="N22" s="1">
        <f t="shared" si="1"/>
        <v>1</v>
      </c>
      <c r="O22" s="3">
        <v>45685</v>
      </c>
      <c r="P22" s="1" t="s">
        <v>36</v>
      </c>
      <c r="Q22" s="1"/>
      <c r="R22" s="1" t="s">
        <v>132</v>
      </c>
      <c r="S22" s="1" t="s">
        <v>133</v>
      </c>
      <c r="T22" s="1"/>
      <c r="U22" s="1"/>
      <c r="V22" s="1" t="s">
        <v>40</v>
      </c>
      <c r="W22" s="1" t="s">
        <v>132</v>
      </c>
      <c r="X22" s="1"/>
      <c r="Y22" s="1" t="s">
        <v>41</v>
      </c>
      <c r="Z22" s="5" t="s">
        <v>42</v>
      </c>
    </row>
    <row r="23" spans="1:26" x14ac:dyDescent="0.3">
      <c r="A23" s="4">
        <v>21</v>
      </c>
      <c r="B23" s="1" t="s">
        <v>135</v>
      </c>
      <c r="C23" s="1" t="s">
        <v>136</v>
      </c>
      <c r="D23" s="1" t="s">
        <v>53</v>
      </c>
      <c r="E23" s="1" t="s">
        <v>30</v>
      </c>
      <c r="F23" s="1" t="s">
        <v>137</v>
      </c>
      <c r="G23" s="1">
        <v>59</v>
      </c>
      <c r="H23" s="6" t="str">
        <f>IFERROR(VLOOKUP(F23, Index!C:D, 2, FALSE), "")</f>
        <v>Cureghem</v>
      </c>
      <c r="I23" s="2" t="s">
        <v>138</v>
      </c>
      <c r="J23" s="1"/>
      <c r="K23" s="1" t="s">
        <v>35</v>
      </c>
      <c r="L23" s="3">
        <v>45694</v>
      </c>
      <c r="M23" s="3">
        <v>45694</v>
      </c>
      <c r="N23" s="1">
        <f t="shared" si="1"/>
        <v>1</v>
      </c>
      <c r="O23" s="3">
        <v>45715</v>
      </c>
      <c r="P23" s="1" t="s">
        <v>58</v>
      </c>
      <c r="Q23" s="1"/>
      <c r="R23" s="1" t="s">
        <v>37</v>
      </c>
      <c r="S23" s="1"/>
      <c r="T23" s="1"/>
      <c r="U23" s="1"/>
      <c r="V23" s="1" t="s">
        <v>40</v>
      </c>
      <c r="W23" s="1"/>
      <c r="X23" s="1"/>
      <c r="Y23" s="1" t="s">
        <v>41</v>
      </c>
      <c r="Z23" s="5" t="s">
        <v>66</v>
      </c>
    </row>
    <row r="24" spans="1:26" x14ac:dyDescent="0.3">
      <c r="A24" s="4">
        <v>22</v>
      </c>
      <c r="B24" s="1" t="s">
        <v>139</v>
      </c>
      <c r="C24" s="1" t="s">
        <v>140</v>
      </c>
      <c r="D24" s="1" t="s">
        <v>53</v>
      </c>
      <c r="E24" s="1" t="s">
        <v>90</v>
      </c>
      <c r="F24" s="1" t="s">
        <v>141</v>
      </c>
      <c r="G24" s="1">
        <v>11</v>
      </c>
      <c r="H24" s="6" t="str">
        <f>IFERROR(VLOOKUP(F24, Index!C:D, 2, FALSE), "")</f>
        <v>Parc</v>
      </c>
      <c r="I24" s="2" t="s">
        <v>142</v>
      </c>
      <c r="J24" s="78" t="s">
        <v>143</v>
      </c>
      <c r="K24" s="1" t="s">
        <v>89</v>
      </c>
      <c r="L24" s="3">
        <v>45693</v>
      </c>
      <c r="M24" s="3">
        <v>45694</v>
      </c>
      <c r="N24" s="1">
        <f t="shared" si="1"/>
        <v>1</v>
      </c>
      <c r="O24" s="3"/>
      <c r="P24" s="1" t="s">
        <v>58</v>
      </c>
      <c r="Q24" s="1" t="s">
        <v>59</v>
      </c>
      <c r="R24" s="1" t="s">
        <v>37</v>
      </c>
      <c r="S24" s="1"/>
      <c r="T24" s="1"/>
      <c r="U24" s="1"/>
      <c r="V24" s="1" t="s">
        <v>40</v>
      </c>
      <c r="W24" s="1"/>
      <c r="X24" s="1"/>
      <c r="Y24" s="1" t="s">
        <v>41</v>
      </c>
      <c r="Z24" s="5" t="s">
        <v>50</v>
      </c>
    </row>
    <row r="25" spans="1:26" x14ac:dyDescent="0.3">
      <c r="A25" s="4">
        <v>23</v>
      </c>
      <c r="B25" s="1" t="s">
        <v>144</v>
      </c>
      <c r="C25" s="1" t="s">
        <v>145</v>
      </c>
      <c r="D25" s="1" t="s">
        <v>53</v>
      </c>
      <c r="E25" s="1" t="s">
        <v>30</v>
      </c>
      <c r="F25" s="1" t="s">
        <v>146</v>
      </c>
      <c r="G25" s="1">
        <v>121</v>
      </c>
      <c r="H25" s="6" t="str">
        <f>IFERROR(VLOOKUP(F25, Index!C:D, 2, FALSE), "")</f>
        <v>Neerpede</v>
      </c>
      <c r="I25" s="2"/>
      <c r="J25" s="1"/>
      <c r="K25" s="1" t="s">
        <v>35</v>
      </c>
      <c r="L25" s="3">
        <v>45693</v>
      </c>
      <c r="M25" s="3">
        <v>45694</v>
      </c>
      <c r="N25" s="1">
        <f t="shared" si="1"/>
        <v>1</v>
      </c>
      <c r="O25" s="3">
        <v>45876</v>
      </c>
      <c r="P25" s="1" t="s">
        <v>147</v>
      </c>
      <c r="Q25" s="1"/>
      <c r="R25" s="1" t="s">
        <v>37</v>
      </c>
      <c r="S25" s="1"/>
      <c r="T25" s="1"/>
      <c r="U25" s="1"/>
      <c r="V25" s="1" t="s">
        <v>40</v>
      </c>
      <c r="W25" s="1" t="s">
        <v>132</v>
      </c>
      <c r="X25" s="1"/>
      <c r="Y25" s="1" t="s">
        <v>41</v>
      </c>
      <c r="Z25" s="5" t="s">
        <v>42</v>
      </c>
    </row>
    <row r="26" spans="1:26" x14ac:dyDescent="0.3">
      <c r="A26" s="4">
        <v>24</v>
      </c>
      <c r="B26" s="1" t="s">
        <v>148</v>
      </c>
      <c r="C26" s="1" t="s">
        <v>149</v>
      </c>
      <c r="D26" s="1" t="s">
        <v>29</v>
      </c>
      <c r="E26" s="1" t="s">
        <v>90</v>
      </c>
      <c r="F26" s="1" t="s">
        <v>150</v>
      </c>
      <c r="G26" s="1">
        <v>185</v>
      </c>
      <c r="H26" s="6" t="str">
        <f>IFERROR(VLOOKUP(F26, Index!C:D, 2, FALSE), "")</f>
        <v>Vaillance</v>
      </c>
      <c r="I26" s="2" t="s">
        <v>151</v>
      </c>
      <c r="J26" s="1"/>
      <c r="K26" s="1" t="s">
        <v>35</v>
      </c>
      <c r="L26" s="3">
        <v>45694</v>
      </c>
      <c r="M26" s="3">
        <v>45694</v>
      </c>
      <c r="N26" s="1">
        <f t="shared" si="1"/>
        <v>1</v>
      </c>
      <c r="O26" s="3">
        <v>45876</v>
      </c>
      <c r="P26" s="1" t="s">
        <v>58</v>
      </c>
      <c r="Q26" s="1"/>
      <c r="R26" s="1" t="s">
        <v>37</v>
      </c>
      <c r="S26" s="1"/>
      <c r="T26" s="1"/>
      <c r="U26" s="1"/>
      <c r="V26" s="1" t="s">
        <v>40</v>
      </c>
      <c r="W26" s="1"/>
      <c r="X26" s="1"/>
      <c r="Y26" s="1" t="s">
        <v>41</v>
      </c>
      <c r="Z26" s="5" t="s">
        <v>62</v>
      </c>
    </row>
    <row r="27" spans="1:26" x14ac:dyDescent="0.3">
      <c r="A27" s="4">
        <v>25</v>
      </c>
      <c r="B27" s="1" t="s">
        <v>152</v>
      </c>
      <c r="C27" s="1" t="s">
        <v>153</v>
      </c>
      <c r="D27" s="1" t="s">
        <v>29</v>
      </c>
      <c r="E27" s="1" t="s">
        <v>30</v>
      </c>
      <c r="F27" s="1" t="s">
        <v>154</v>
      </c>
      <c r="G27" s="1">
        <v>29</v>
      </c>
      <c r="H27" s="6" t="str">
        <f>IFERROR(VLOOKUP(F27, Index!C:D, 2, FALSE), "")</f>
        <v>Vaillance</v>
      </c>
      <c r="I27" s="2" t="s">
        <v>155</v>
      </c>
      <c r="J27" s="1"/>
      <c r="K27" s="1" t="s">
        <v>35</v>
      </c>
      <c r="L27" s="3">
        <v>45698</v>
      </c>
      <c r="M27" s="3">
        <v>45698</v>
      </c>
      <c r="N27" s="1">
        <f t="shared" si="1"/>
        <v>1</v>
      </c>
      <c r="O27" s="3">
        <v>45876</v>
      </c>
      <c r="P27" s="1" t="s">
        <v>58</v>
      </c>
      <c r="Q27" s="1"/>
      <c r="R27" s="1" t="s">
        <v>37</v>
      </c>
      <c r="S27" s="1"/>
      <c r="T27" s="1"/>
      <c r="U27" s="1"/>
      <c r="V27" s="1" t="s">
        <v>40</v>
      </c>
      <c r="W27" s="1"/>
      <c r="X27" s="1"/>
      <c r="Y27" s="1" t="s">
        <v>41</v>
      </c>
      <c r="Z27" s="5" t="s">
        <v>66</v>
      </c>
    </row>
    <row r="28" spans="1:26" x14ac:dyDescent="0.3">
      <c r="A28" s="4">
        <v>26</v>
      </c>
      <c r="B28" s="1" t="s">
        <v>156</v>
      </c>
      <c r="C28" s="1" t="s">
        <v>157</v>
      </c>
      <c r="D28" s="1" t="s">
        <v>53</v>
      </c>
      <c r="E28" s="1" t="s">
        <v>30</v>
      </c>
      <c r="F28" s="1"/>
      <c r="G28" s="1"/>
      <c r="H28" s="6" t="str">
        <f>IFERROR(VLOOKUP(F28, Index!C:D, 2, FALSE), "")</f>
        <v/>
      </c>
      <c r="I28" s="2" t="s">
        <v>158</v>
      </c>
      <c r="J28" s="1"/>
      <c r="K28" s="1" t="s">
        <v>89</v>
      </c>
      <c r="L28" s="3">
        <v>45706</v>
      </c>
      <c r="M28" s="3">
        <v>45706</v>
      </c>
      <c r="N28" s="1">
        <f t="shared" si="1"/>
        <v>1</v>
      </c>
      <c r="O28" s="3">
        <v>45874</v>
      </c>
      <c r="P28" s="1" t="s">
        <v>117</v>
      </c>
      <c r="Q28" s="1"/>
      <c r="R28" s="1" t="s">
        <v>37</v>
      </c>
      <c r="S28" s="1"/>
      <c r="T28" s="1"/>
      <c r="U28" s="1"/>
      <c r="V28" s="1" t="s">
        <v>40</v>
      </c>
      <c r="W28" s="1" t="s">
        <v>132</v>
      </c>
      <c r="X28" s="1"/>
      <c r="Y28" s="1" t="s">
        <v>41</v>
      </c>
      <c r="Z28" s="5" t="s">
        <v>159</v>
      </c>
    </row>
    <row r="29" spans="1:26" x14ac:dyDescent="0.3">
      <c r="A29" s="4">
        <v>27</v>
      </c>
      <c r="B29" s="1" t="s">
        <v>160</v>
      </c>
      <c r="C29" s="1" t="s">
        <v>161</v>
      </c>
      <c r="D29" s="1" t="s">
        <v>29</v>
      </c>
      <c r="E29" s="1" t="s">
        <v>30</v>
      </c>
      <c r="F29" s="1" t="s">
        <v>162</v>
      </c>
      <c r="G29" s="1">
        <v>46</v>
      </c>
      <c r="H29" s="6" t="str">
        <f>IFERROR(VLOOKUP(F29, Index!C:D, 2, FALSE), "")</f>
        <v>Peterbos</v>
      </c>
      <c r="I29" s="2" t="s">
        <v>163</v>
      </c>
      <c r="J29" s="1"/>
      <c r="K29" s="1" t="s">
        <v>47</v>
      </c>
      <c r="L29" s="3">
        <v>45706</v>
      </c>
      <c r="M29" s="3">
        <v>45706</v>
      </c>
      <c r="N29" s="1">
        <f t="shared" si="1"/>
        <v>1</v>
      </c>
      <c r="O29" s="3">
        <v>45758</v>
      </c>
      <c r="P29" s="1" t="s">
        <v>58</v>
      </c>
      <c r="Q29" s="1" t="s">
        <v>164</v>
      </c>
      <c r="R29" s="1" t="s">
        <v>132</v>
      </c>
      <c r="S29" s="1"/>
      <c r="T29" s="1"/>
      <c r="U29" s="1"/>
      <c r="V29" s="1" t="s">
        <v>40</v>
      </c>
      <c r="W29" s="1"/>
      <c r="X29" s="1"/>
      <c r="Y29" s="1" t="s">
        <v>41</v>
      </c>
      <c r="Z29" s="5" t="s">
        <v>108</v>
      </c>
    </row>
    <row r="30" spans="1:26" x14ac:dyDescent="0.3">
      <c r="A30" s="4">
        <v>28</v>
      </c>
      <c r="B30" s="1" t="s">
        <v>165</v>
      </c>
      <c r="C30" s="1" t="s">
        <v>166</v>
      </c>
      <c r="D30" s="1" t="s">
        <v>53</v>
      </c>
      <c r="E30" s="1" t="s">
        <v>30</v>
      </c>
      <c r="F30" s="1" t="s">
        <v>167</v>
      </c>
      <c r="G30" s="1">
        <v>47</v>
      </c>
      <c r="H30" s="6" t="str">
        <f>IFERROR(VLOOKUP(F30, Index!C:D, 2, FALSE), "")</f>
        <v>Parc</v>
      </c>
      <c r="I30" s="2" t="s">
        <v>168</v>
      </c>
      <c r="J30" s="1"/>
      <c r="K30" s="1" t="s">
        <v>89</v>
      </c>
      <c r="L30" s="3">
        <v>45707</v>
      </c>
      <c r="M30" s="3">
        <v>45707</v>
      </c>
      <c r="N30" s="1">
        <f t="shared" si="1"/>
        <v>1</v>
      </c>
      <c r="O30" s="3"/>
      <c r="P30" s="1" t="s">
        <v>58</v>
      </c>
      <c r="Q30" s="1" t="s">
        <v>169</v>
      </c>
      <c r="R30" s="1" t="s">
        <v>132</v>
      </c>
      <c r="S30" s="1"/>
      <c r="T30" s="1"/>
      <c r="U30" s="1"/>
      <c r="V30" s="1" t="s">
        <v>40</v>
      </c>
      <c r="W30" s="1"/>
      <c r="X30" s="1"/>
      <c r="Y30" s="1" t="s">
        <v>41</v>
      </c>
      <c r="Z30" s="5" t="s">
        <v>42</v>
      </c>
    </row>
    <row r="31" spans="1:26" x14ac:dyDescent="0.3">
      <c r="A31" s="4">
        <v>29</v>
      </c>
      <c r="B31" s="1"/>
      <c r="C31" s="1"/>
      <c r="D31" s="1" t="s">
        <v>53</v>
      </c>
      <c r="E31" s="1" t="s">
        <v>90</v>
      </c>
      <c r="F31" s="1" t="s">
        <v>170</v>
      </c>
      <c r="G31" s="1">
        <v>87</v>
      </c>
      <c r="H31" s="6" t="str">
        <f>IFERROR(VLOOKUP(F31, Index!C:D, 2, FALSE), "")</f>
        <v>Parc</v>
      </c>
      <c r="I31" s="2" t="s">
        <v>171</v>
      </c>
      <c r="J31" s="1"/>
      <c r="K31" s="1" t="s">
        <v>35</v>
      </c>
      <c r="L31" s="3">
        <v>45698</v>
      </c>
      <c r="M31" s="3">
        <v>45713</v>
      </c>
      <c r="N31" s="1">
        <v>15</v>
      </c>
      <c r="O31" s="3">
        <v>45713</v>
      </c>
      <c r="P31" s="1" t="s">
        <v>71</v>
      </c>
      <c r="Q31" s="1" t="s">
        <v>172</v>
      </c>
      <c r="R31" s="1" t="s">
        <v>37</v>
      </c>
      <c r="S31" s="1"/>
      <c r="T31" s="1"/>
      <c r="U31" s="1"/>
      <c r="V31" s="1" t="s">
        <v>40</v>
      </c>
      <c r="W31" s="1"/>
      <c r="X31" s="1"/>
      <c r="Y31" s="1" t="s">
        <v>41</v>
      </c>
      <c r="Z31" s="5" t="s">
        <v>42</v>
      </c>
    </row>
    <row r="32" spans="1:26" x14ac:dyDescent="0.3">
      <c r="A32" s="4">
        <v>30</v>
      </c>
      <c r="B32" s="1" t="s">
        <v>173</v>
      </c>
      <c r="C32" s="1" t="s">
        <v>174</v>
      </c>
      <c r="D32" s="1" t="s">
        <v>29</v>
      </c>
      <c r="E32" s="1" t="s">
        <v>90</v>
      </c>
      <c r="F32" s="1" t="s">
        <v>175</v>
      </c>
      <c r="G32" s="1" t="s">
        <v>176</v>
      </c>
      <c r="H32" s="6" t="str">
        <f>IFERROR(VLOOKUP(F32, Index!C:D, 2, FALSE), "")</f>
        <v>La Roue</v>
      </c>
      <c r="I32" s="2" t="s">
        <v>177</v>
      </c>
      <c r="J32" s="1"/>
      <c r="K32" s="1" t="s">
        <v>35</v>
      </c>
      <c r="L32" s="3">
        <v>45705</v>
      </c>
      <c r="M32" s="3">
        <v>45713</v>
      </c>
      <c r="N32" s="1">
        <f t="shared" si="1"/>
        <v>8</v>
      </c>
      <c r="O32" s="3">
        <v>45939</v>
      </c>
      <c r="P32" s="1" t="s">
        <v>58</v>
      </c>
      <c r="Q32" s="1"/>
      <c r="R32" s="1" t="s">
        <v>38</v>
      </c>
      <c r="S32" s="1"/>
      <c r="T32" s="1"/>
      <c r="U32" s="1"/>
      <c r="V32" s="1" t="s">
        <v>40</v>
      </c>
      <c r="W32" s="1"/>
      <c r="X32" s="1"/>
      <c r="Y32" s="1" t="s">
        <v>41</v>
      </c>
      <c r="Z32" s="5" t="s">
        <v>62</v>
      </c>
    </row>
    <row r="33" spans="1:26" x14ac:dyDescent="0.3">
      <c r="A33" s="4">
        <v>31</v>
      </c>
      <c r="B33" s="1" t="s">
        <v>178</v>
      </c>
      <c r="C33" s="1" t="s">
        <v>179</v>
      </c>
      <c r="D33" s="1" t="s">
        <v>29</v>
      </c>
      <c r="E33" s="1" t="s">
        <v>90</v>
      </c>
      <c r="F33" s="1" t="s">
        <v>141</v>
      </c>
      <c r="G33" s="1">
        <v>34</v>
      </c>
      <c r="H33" s="79" t="str">
        <f>IFERROR(VLOOKUP(F33, Index!C:D, 2, FALSE), "")</f>
        <v>Parc</v>
      </c>
      <c r="I33" s="2" t="s">
        <v>180</v>
      </c>
      <c r="J33" s="1"/>
      <c r="K33" s="1" t="s">
        <v>35</v>
      </c>
      <c r="L33" s="3">
        <v>45707</v>
      </c>
      <c r="M33" s="3">
        <v>45713</v>
      </c>
      <c r="N33" s="1">
        <f t="shared" si="1"/>
        <v>6</v>
      </c>
      <c r="O33" s="3">
        <v>45713</v>
      </c>
      <c r="P33" s="1" t="s">
        <v>58</v>
      </c>
      <c r="Q33" s="1" t="s">
        <v>92</v>
      </c>
      <c r="R33" s="1" t="s">
        <v>38</v>
      </c>
      <c r="S33" s="1" t="s">
        <v>181</v>
      </c>
      <c r="T33" s="1"/>
      <c r="U33" s="1"/>
      <c r="V33" s="1" t="s">
        <v>40</v>
      </c>
      <c r="W33" s="1"/>
      <c r="X33" s="1"/>
      <c r="Y33" s="1" t="s">
        <v>41</v>
      </c>
      <c r="Z33" s="5" t="s">
        <v>62</v>
      </c>
    </row>
    <row r="34" spans="1:26" x14ac:dyDescent="0.3">
      <c r="A34" s="4">
        <v>32</v>
      </c>
      <c r="B34" s="1" t="s">
        <v>182</v>
      </c>
      <c r="C34" s="1" t="s">
        <v>183</v>
      </c>
      <c r="D34" s="1" t="s">
        <v>29</v>
      </c>
      <c r="E34" s="1" t="s">
        <v>30</v>
      </c>
      <c r="F34" s="1" t="s">
        <v>86</v>
      </c>
      <c r="G34" s="1"/>
      <c r="H34" s="6" t="str">
        <f>IFERROR(VLOOKUP(F34, Index!C:D, 2, FALSE), "")</f>
        <v>SECTEUR</v>
      </c>
      <c r="I34" s="2" t="s">
        <v>184</v>
      </c>
      <c r="J34" s="78" t="s">
        <v>185</v>
      </c>
      <c r="K34" s="1" t="s">
        <v>89</v>
      </c>
      <c r="L34" s="3">
        <v>45714</v>
      </c>
      <c r="M34" s="3">
        <v>45714</v>
      </c>
      <c r="N34" s="1">
        <f t="shared" si="1"/>
        <v>1</v>
      </c>
      <c r="O34" s="3">
        <v>45902</v>
      </c>
      <c r="P34" s="1" t="s">
        <v>117</v>
      </c>
      <c r="Q34" s="1" t="s">
        <v>186</v>
      </c>
      <c r="R34" s="1" t="s">
        <v>37</v>
      </c>
      <c r="S34" s="1"/>
      <c r="T34" s="1"/>
      <c r="U34" s="1"/>
      <c r="V34" s="1" t="s">
        <v>40</v>
      </c>
      <c r="W34" s="1"/>
      <c r="X34" s="1"/>
      <c r="Y34" s="1" t="s">
        <v>41</v>
      </c>
      <c r="Z34" s="5" t="s">
        <v>134</v>
      </c>
    </row>
    <row r="35" spans="1:26" x14ac:dyDescent="0.3">
      <c r="A35" s="4">
        <v>33</v>
      </c>
      <c r="B35" s="1" t="s">
        <v>187</v>
      </c>
      <c r="C35" s="1" t="s">
        <v>188</v>
      </c>
      <c r="D35" s="1" t="s">
        <v>29</v>
      </c>
      <c r="E35" s="1" t="s">
        <v>90</v>
      </c>
      <c r="F35" s="1" t="s">
        <v>86</v>
      </c>
      <c r="G35" s="1"/>
      <c r="H35" s="6" t="str">
        <f>IFERROR(VLOOKUP(F35, Index!C:D, 2, FALSE), "")</f>
        <v>SECTEUR</v>
      </c>
      <c r="I35" s="2" t="s">
        <v>189</v>
      </c>
      <c r="J35" s="1"/>
      <c r="K35" s="1" t="s">
        <v>89</v>
      </c>
      <c r="L35" s="3">
        <v>45720</v>
      </c>
      <c r="M35" s="3">
        <v>45720</v>
      </c>
      <c r="N35" s="1">
        <f t="shared" si="1"/>
        <v>1</v>
      </c>
      <c r="O35" s="3"/>
      <c r="P35" s="1" t="s">
        <v>36</v>
      </c>
      <c r="Q35" s="1" t="s">
        <v>190</v>
      </c>
      <c r="R35" s="1" t="s">
        <v>37</v>
      </c>
      <c r="S35" s="1"/>
      <c r="T35" s="1"/>
      <c r="U35" s="1"/>
      <c r="V35" s="1" t="s">
        <v>40</v>
      </c>
      <c r="W35" s="1"/>
      <c r="X35" s="1"/>
      <c r="Y35" s="1" t="s">
        <v>41</v>
      </c>
      <c r="Z35" s="5" t="s">
        <v>42</v>
      </c>
    </row>
    <row r="36" spans="1:26" x14ac:dyDescent="0.3">
      <c r="A36" s="4">
        <v>34</v>
      </c>
      <c r="B36" s="1" t="s">
        <v>191</v>
      </c>
      <c r="C36" s="1" t="s">
        <v>192</v>
      </c>
      <c r="D36" s="1" t="s">
        <v>53</v>
      </c>
      <c r="E36" s="1" t="s">
        <v>30</v>
      </c>
      <c r="F36" s="1" t="s">
        <v>193</v>
      </c>
      <c r="G36" s="1">
        <v>300</v>
      </c>
      <c r="H36" s="6" t="str">
        <f>IFERROR(VLOOKUP(F36, Index!C:D, 2, FALSE), "")</f>
        <v>Scheut</v>
      </c>
      <c r="I36" s="2" t="s">
        <v>194</v>
      </c>
      <c r="J36" s="78" t="s">
        <v>195</v>
      </c>
      <c r="K36" s="1" t="s">
        <v>89</v>
      </c>
      <c r="L36" s="3">
        <v>45720</v>
      </c>
      <c r="M36" s="3">
        <v>45720</v>
      </c>
      <c r="N36" s="1">
        <f t="shared" si="1"/>
        <v>1</v>
      </c>
      <c r="O36" s="3"/>
      <c r="P36" s="1" t="s">
        <v>58</v>
      </c>
      <c r="Q36" s="1" t="s">
        <v>196</v>
      </c>
      <c r="R36" s="1" t="s">
        <v>37</v>
      </c>
      <c r="S36" s="1"/>
      <c r="T36" s="1"/>
      <c r="U36" s="1"/>
      <c r="V36" s="1" t="s">
        <v>40</v>
      </c>
      <c r="W36" s="1"/>
      <c r="X36" s="1"/>
      <c r="Y36" s="1" t="s">
        <v>41</v>
      </c>
      <c r="Z36" s="5"/>
    </row>
    <row r="37" spans="1:26" x14ac:dyDescent="0.3">
      <c r="A37" s="4">
        <v>35</v>
      </c>
      <c r="B37" s="1" t="s">
        <v>197</v>
      </c>
      <c r="C37" s="1" t="s">
        <v>198</v>
      </c>
      <c r="D37" s="1" t="s">
        <v>53</v>
      </c>
      <c r="E37" s="1" t="s">
        <v>30</v>
      </c>
      <c r="F37" s="1" t="s">
        <v>45</v>
      </c>
      <c r="G37" s="1">
        <v>626</v>
      </c>
      <c r="H37" s="6" t="str">
        <f>IFERROR(VLOOKUP(F37, Index!C:D, 2, FALSE), "")</f>
        <v>Peterbos</v>
      </c>
      <c r="I37" s="2" t="s">
        <v>199</v>
      </c>
      <c r="J37" s="1"/>
      <c r="K37" s="1" t="s">
        <v>35</v>
      </c>
      <c r="L37" s="3">
        <v>45708</v>
      </c>
      <c r="M37" s="3">
        <v>45713</v>
      </c>
      <c r="N37" s="1">
        <f t="shared" si="1"/>
        <v>5</v>
      </c>
      <c r="O37" s="3">
        <v>45876</v>
      </c>
      <c r="P37" s="1" t="s">
        <v>58</v>
      </c>
      <c r="Q37" s="1"/>
      <c r="R37" s="1" t="s">
        <v>38</v>
      </c>
      <c r="S37" s="1" t="s">
        <v>200</v>
      </c>
      <c r="T37" s="1"/>
      <c r="U37" s="1"/>
      <c r="V37" s="1" t="s">
        <v>40</v>
      </c>
      <c r="W37" s="1"/>
      <c r="X37" s="1"/>
      <c r="Y37" s="1" t="s">
        <v>41</v>
      </c>
      <c r="Z37" s="5" t="s">
        <v>62</v>
      </c>
    </row>
    <row r="38" spans="1:26" x14ac:dyDescent="0.3">
      <c r="A38" s="4">
        <v>36</v>
      </c>
      <c r="B38" s="1" t="s">
        <v>201</v>
      </c>
      <c r="C38" s="1" t="s">
        <v>202</v>
      </c>
      <c r="D38" s="1" t="s">
        <v>53</v>
      </c>
      <c r="E38" s="1"/>
      <c r="F38" s="1"/>
      <c r="G38" s="1"/>
      <c r="H38" s="6" t="str">
        <f>IFERROR(VLOOKUP(F38, Index!C:D, 2, FALSE), "")</f>
        <v/>
      </c>
      <c r="I38" s="2" t="s">
        <v>203</v>
      </c>
      <c r="J38" s="1"/>
      <c r="K38" s="1" t="s">
        <v>89</v>
      </c>
      <c r="L38" s="3">
        <v>45715</v>
      </c>
      <c r="M38" s="3">
        <v>45727</v>
      </c>
      <c r="N38" s="1">
        <f t="shared" si="1"/>
        <v>12</v>
      </c>
      <c r="O38" s="3">
        <v>45965</v>
      </c>
      <c r="P38" s="1" t="s">
        <v>58</v>
      </c>
      <c r="Q38" s="1"/>
      <c r="R38" s="1" t="s">
        <v>37</v>
      </c>
      <c r="S38" s="1"/>
      <c r="T38" s="1"/>
      <c r="U38" s="1"/>
      <c r="V38" s="1" t="s">
        <v>40</v>
      </c>
      <c r="W38" s="1"/>
      <c r="X38" s="1"/>
      <c r="Y38" s="1" t="s">
        <v>41</v>
      </c>
      <c r="Z38" s="5" t="s">
        <v>66</v>
      </c>
    </row>
    <row r="39" spans="1:26" x14ac:dyDescent="0.3">
      <c r="A39" s="4">
        <v>37</v>
      </c>
      <c r="B39" s="1" t="s">
        <v>204</v>
      </c>
      <c r="C39" s="1" t="s">
        <v>205</v>
      </c>
      <c r="D39" s="1"/>
      <c r="E39" s="1" t="s">
        <v>30</v>
      </c>
      <c r="F39" s="1" t="s">
        <v>137</v>
      </c>
      <c r="G39" s="1"/>
      <c r="H39" s="6" t="str">
        <f>IFERROR(VLOOKUP(F39, Index!C:D, 2, FALSE), "")</f>
        <v>Cureghem</v>
      </c>
      <c r="I39" s="2" t="s">
        <v>206</v>
      </c>
      <c r="J39" s="1"/>
      <c r="K39" s="1" t="s">
        <v>89</v>
      </c>
      <c r="L39" s="3">
        <v>45721</v>
      </c>
      <c r="M39" s="3">
        <v>45727</v>
      </c>
      <c r="N39" s="1">
        <f t="shared" si="1"/>
        <v>6</v>
      </c>
      <c r="O39" s="3">
        <v>45965</v>
      </c>
      <c r="P39" s="1" t="s">
        <v>58</v>
      </c>
      <c r="Q39" s="1" t="s">
        <v>207</v>
      </c>
      <c r="R39" s="1" t="s">
        <v>37</v>
      </c>
      <c r="S39" s="1"/>
      <c r="T39" s="1"/>
      <c r="U39" s="1"/>
      <c r="V39" s="1" t="s">
        <v>40</v>
      </c>
      <c r="W39" s="1"/>
      <c r="X39" s="1"/>
      <c r="Y39" s="1" t="s">
        <v>41</v>
      </c>
      <c r="Z39" s="5" t="s">
        <v>108</v>
      </c>
    </row>
    <row r="40" spans="1:26" x14ac:dyDescent="0.3">
      <c r="A40" s="4">
        <v>38</v>
      </c>
      <c r="B40" s="1" t="s">
        <v>208</v>
      </c>
      <c r="C40" s="1" t="s">
        <v>209</v>
      </c>
      <c r="D40" s="1" t="s">
        <v>29</v>
      </c>
      <c r="E40" s="1" t="s">
        <v>90</v>
      </c>
      <c r="F40" s="1" t="s">
        <v>210</v>
      </c>
      <c r="G40" s="1">
        <v>3</v>
      </c>
      <c r="H40" s="6" t="str">
        <f>IFERROR(VLOOKUP(F40, Index!C:D, 2, FALSE), "")</f>
        <v>Peterbos</v>
      </c>
      <c r="I40" s="2" t="s">
        <v>211</v>
      </c>
      <c r="J40" s="1"/>
      <c r="K40" s="1" t="s">
        <v>89</v>
      </c>
      <c r="L40" s="3">
        <v>45728</v>
      </c>
      <c r="M40" s="3">
        <v>45728</v>
      </c>
      <c r="N40" s="1">
        <f t="shared" si="1"/>
        <v>1</v>
      </c>
      <c r="O40" s="3">
        <v>45965</v>
      </c>
      <c r="P40" s="1" t="s">
        <v>117</v>
      </c>
      <c r="Q40" s="1" t="s">
        <v>212</v>
      </c>
      <c r="R40" s="1" t="s">
        <v>213</v>
      </c>
      <c r="S40" s="1"/>
      <c r="T40" s="1"/>
      <c r="U40" s="1"/>
      <c r="V40" s="1" t="s">
        <v>40</v>
      </c>
      <c r="W40" s="1"/>
      <c r="X40" s="1"/>
      <c r="Y40" s="1" t="s">
        <v>41</v>
      </c>
      <c r="Z40" s="5" t="s">
        <v>108</v>
      </c>
    </row>
    <row r="41" spans="1:26" x14ac:dyDescent="0.3">
      <c r="A41" s="4">
        <v>39</v>
      </c>
      <c r="B41" s="1" t="s">
        <v>214</v>
      </c>
      <c r="C41" s="1" t="s">
        <v>215</v>
      </c>
      <c r="D41" s="1" t="s">
        <v>53</v>
      </c>
      <c r="E41" s="1" t="s">
        <v>30</v>
      </c>
      <c r="F41" s="1" t="s">
        <v>137</v>
      </c>
      <c r="G41" s="1"/>
      <c r="H41" s="6" t="s">
        <v>216</v>
      </c>
      <c r="I41" s="2" t="s">
        <v>217</v>
      </c>
      <c r="J41" s="1"/>
      <c r="K41" s="1" t="s">
        <v>89</v>
      </c>
      <c r="L41" s="3">
        <v>45728</v>
      </c>
      <c r="M41" s="3">
        <v>45728</v>
      </c>
      <c r="N41" s="1">
        <f t="shared" si="1"/>
        <v>1</v>
      </c>
      <c r="O41" s="3"/>
      <c r="P41" s="1" t="s">
        <v>58</v>
      </c>
      <c r="Q41" s="1" t="s">
        <v>207</v>
      </c>
      <c r="R41" s="1" t="s">
        <v>213</v>
      </c>
      <c r="S41" s="1"/>
      <c r="T41" s="1"/>
      <c r="U41" s="1"/>
      <c r="V41" s="1" t="s">
        <v>40</v>
      </c>
      <c r="W41" s="1"/>
      <c r="X41" s="1"/>
      <c r="Y41" s="1" t="s">
        <v>41</v>
      </c>
      <c r="Z41" s="5"/>
    </row>
    <row r="42" spans="1:26" x14ac:dyDescent="0.3">
      <c r="A42" s="4">
        <v>40</v>
      </c>
      <c r="B42" s="1" t="s">
        <v>218</v>
      </c>
      <c r="C42" s="1" t="s">
        <v>219</v>
      </c>
      <c r="D42" s="1" t="s">
        <v>29</v>
      </c>
      <c r="E42" s="1" t="s">
        <v>90</v>
      </c>
      <c r="F42" s="1" t="s">
        <v>220</v>
      </c>
      <c r="G42" s="1">
        <v>14</v>
      </c>
      <c r="H42" s="6" t="str">
        <f>IFERROR(VLOOKUP(F42, Index!C:D, 2, FALSE), "")</f>
        <v>Vaillance</v>
      </c>
      <c r="I42" s="2" t="s">
        <v>221</v>
      </c>
      <c r="J42" s="1"/>
      <c r="K42" s="1" t="s">
        <v>47</v>
      </c>
      <c r="L42" s="3">
        <v>45735</v>
      </c>
      <c r="M42" s="3">
        <v>45958</v>
      </c>
      <c r="N42" s="1">
        <f t="shared" si="1"/>
        <v>223</v>
      </c>
      <c r="O42" s="3">
        <v>45810</v>
      </c>
      <c r="P42" s="1" t="s">
        <v>58</v>
      </c>
      <c r="Q42" s="1" t="s">
        <v>222</v>
      </c>
      <c r="R42" s="1" t="s">
        <v>38</v>
      </c>
      <c r="S42" s="1" t="s">
        <v>223</v>
      </c>
      <c r="T42" s="1"/>
      <c r="U42" s="1"/>
      <c r="V42" s="1" t="s">
        <v>40</v>
      </c>
      <c r="W42" s="1"/>
      <c r="X42" s="1"/>
      <c r="Y42" s="1" t="s">
        <v>41</v>
      </c>
      <c r="Z42" s="5" t="s">
        <v>159</v>
      </c>
    </row>
    <row r="43" spans="1:26" x14ac:dyDescent="0.3">
      <c r="A43" s="4">
        <v>41</v>
      </c>
      <c r="B43" s="1" t="s">
        <v>224</v>
      </c>
      <c r="C43" s="1" t="s">
        <v>225</v>
      </c>
      <c r="D43" s="1" t="s">
        <v>53</v>
      </c>
      <c r="E43" s="1" t="s">
        <v>90</v>
      </c>
      <c r="F43" s="1" t="s">
        <v>86</v>
      </c>
      <c r="G43" s="1"/>
      <c r="H43" s="6" t="str">
        <f>IFERROR(VLOOKUP(F43, Index!C:D, 2, FALSE), "")</f>
        <v>SECTEUR</v>
      </c>
      <c r="I43" s="2" t="s">
        <v>226</v>
      </c>
      <c r="J43" s="1"/>
      <c r="K43" s="1" t="s">
        <v>89</v>
      </c>
      <c r="L43" s="3">
        <v>45734</v>
      </c>
      <c r="M43" s="3"/>
      <c r="N43" s="1" t="str">
        <f t="shared" si="1"/>
        <v/>
      </c>
      <c r="O43" s="3"/>
      <c r="P43" s="1" t="s">
        <v>36</v>
      </c>
      <c r="Q43" s="1" t="s">
        <v>227</v>
      </c>
      <c r="R43" s="1" t="s">
        <v>132</v>
      </c>
      <c r="S43" s="1"/>
      <c r="T43" s="1"/>
      <c r="U43" s="1"/>
      <c r="V43" s="1" t="s">
        <v>40</v>
      </c>
      <c r="W43" s="1" t="s">
        <v>132</v>
      </c>
      <c r="X43" s="1"/>
      <c r="Y43" s="1" t="s">
        <v>41</v>
      </c>
      <c r="Z43" s="5"/>
    </row>
    <row r="44" spans="1:26" x14ac:dyDescent="0.3">
      <c r="A44" s="4">
        <v>42</v>
      </c>
      <c r="B44" s="1" t="s">
        <v>228</v>
      </c>
      <c r="C44" s="1" t="s">
        <v>229</v>
      </c>
      <c r="D44" s="1" t="s">
        <v>29</v>
      </c>
      <c r="E44" s="1" t="s">
        <v>30</v>
      </c>
      <c r="F44" s="1" t="s">
        <v>230</v>
      </c>
      <c r="G44" s="1">
        <v>31</v>
      </c>
      <c r="H44" s="6" t="str">
        <f>IFERROR(VLOOKUP(F44, Index!C:D, 2, FALSE), "")</f>
        <v>Cureghem</v>
      </c>
      <c r="I44" s="2" t="s">
        <v>231</v>
      </c>
      <c r="J44" s="1"/>
      <c r="K44" s="1" t="s">
        <v>47</v>
      </c>
      <c r="L44" s="3">
        <v>45725</v>
      </c>
      <c r="M44" s="3">
        <v>45727</v>
      </c>
      <c r="N44" s="1">
        <f t="shared" si="1"/>
        <v>2</v>
      </c>
      <c r="O44" s="3">
        <v>45797</v>
      </c>
      <c r="P44" s="1" t="s">
        <v>232</v>
      </c>
      <c r="Q44" s="1" t="s">
        <v>233</v>
      </c>
      <c r="R44" s="1" t="s">
        <v>38</v>
      </c>
      <c r="S44" s="1" t="s">
        <v>234</v>
      </c>
      <c r="T44" s="1" t="s">
        <v>235</v>
      </c>
      <c r="U44" s="1"/>
      <c r="V44" s="1" t="s">
        <v>236</v>
      </c>
      <c r="W44" s="1" t="s">
        <v>235</v>
      </c>
      <c r="X44" s="1"/>
      <c r="Y44" s="1" t="s">
        <v>41</v>
      </c>
      <c r="Z44" s="5" t="s">
        <v>159</v>
      </c>
    </row>
    <row r="45" spans="1:26" x14ac:dyDescent="0.3">
      <c r="A45" s="4">
        <v>43</v>
      </c>
      <c r="B45" s="1" t="s">
        <v>237</v>
      </c>
      <c r="C45" s="1" t="s">
        <v>238</v>
      </c>
      <c r="D45" s="1" t="s">
        <v>53</v>
      </c>
      <c r="E45" s="1" t="s">
        <v>30</v>
      </c>
      <c r="F45" s="1" t="s">
        <v>105</v>
      </c>
      <c r="G45" s="1">
        <v>41</v>
      </c>
      <c r="H45" s="6" t="str">
        <f>IFERROR(VLOOKUP(F45, Index!C:D, 2, FALSE), "")</f>
        <v>Scheut</v>
      </c>
      <c r="I45" s="2" t="s">
        <v>239</v>
      </c>
      <c r="J45" s="78" t="s">
        <v>240</v>
      </c>
      <c r="K45" s="1" t="s">
        <v>47</v>
      </c>
      <c r="L45" s="3">
        <v>45691</v>
      </c>
      <c r="M45" s="3">
        <v>45691</v>
      </c>
      <c r="N45" s="1">
        <f t="shared" si="1"/>
        <v>1</v>
      </c>
      <c r="O45" s="3">
        <v>45748</v>
      </c>
      <c r="P45" s="1" t="s">
        <v>36</v>
      </c>
      <c r="Q45" s="1" t="s">
        <v>227</v>
      </c>
      <c r="R45" s="1" t="s">
        <v>37</v>
      </c>
      <c r="S45" s="1"/>
      <c r="T45" s="1" t="s">
        <v>38</v>
      </c>
      <c r="U45" s="1" t="s">
        <v>241</v>
      </c>
      <c r="V45" s="1" t="s">
        <v>40</v>
      </c>
      <c r="W45" s="1" t="s">
        <v>38</v>
      </c>
      <c r="X45" s="1" t="s">
        <v>241</v>
      </c>
      <c r="Y45" s="1" t="s">
        <v>41</v>
      </c>
      <c r="Z45" s="5" t="s">
        <v>66</v>
      </c>
    </row>
    <row r="46" spans="1:26" x14ac:dyDescent="0.3">
      <c r="A46" s="4">
        <v>44</v>
      </c>
      <c r="B46" s="1" t="s">
        <v>242</v>
      </c>
      <c r="C46" s="1" t="s">
        <v>243</v>
      </c>
      <c r="D46" s="1" t="s">
        <v>53</v>
      </c>
      <c r="E46" s="1" t="s">
        <v>30</v>
      </c>
      <c r="F46" s="1" t="s">
        <v>244</v>
      </c>
      <c r="G46" s="1">
        <v>9</v>
      </c>
      <c r="H46" s="6" t="str">
        <f>IFERROR(VLOOKUP(F46, Index!C:D, 2, FALSE), "")</f>
        <v>Vaillance</v>
      </c>
      <c r="I46" s="2" t="s">
        <v>245</v>
      </c>
      <c r="J46" s="1"/>
      <c r="K46" s="1" t="s">
        <v>47</v>
      </c>
      <c r="L46" s="3">
        <v>45717</v>
      </c>
      <c r="M46" s="3">
        <v>45717</v>
      </c>
      <c r="N46" s="1">
        <f t="shared" si="1"/>
        <v>1</v>
      </c>
      <c r="O46" s="3">
        <v>45777</v>
      </c>
      <c r="P46" s="1" t="s">
        <v>58</v>
      </c>
      <c r="Q46" s="1" t="s">
        <v>246</v>
      </c>
      <c r="R46" s="1" t="s">
        <v>37</v>
      </c>
      <c r="S46" s="1"/>
      <c r="T46" s="1"/>
      <c r="U46" s="1"/>
      <c r="V46" s="1" t="s">
        <v>236</v>
      </c>
      <c r="W46" s="1"/>
      <c r="X46" s="1"/>
      <c r="Y46" s="1" t="s">
        <v>41</v>
      </c>
      <c r="Z46" s="5" t="s">
        <v>159</v>
      </c>
    </row>
    <row r="47" spans="1:26" x14ac:dyDescent="0.3">
      <c r="A47" s="4">
        <v>45</v>
      </c>
      <c r="B47" s="1" t="s">
        <v>247</v>
      </c>
      <c r="C47" s="1" t="s">
        <v>248</v>
      </c>
      <c r="D47" s="1" t="s">
        <v>53</v>
      </c>
      <c r="E47" s="1" t="s">
        <v>30</v>
      </c>
      <c r="F47" s="1" t="s">
        <v>249</v>
      </c>
      <c r="G47" s="1"/>
      <c r="H47" s="6" t="str">
        <f>IFERROR(VLOOKUP(F47, Index!C:D, 2, FALSE), "")</f>
        <v>Vaillance</v>
      </c>
      <c r="I47" s="2"/>
      <c r="J47" s="1"/>
      <c r="K47" s="1" t="s">
        <v>47</v>
      </c>
      <c r="L47" s="3">
        <v>45741</v>
      </c>
      <c r="M47" s="3">
        <v>45741</v>
      </c>
      <c r="N47" s="1">
        <f t="shared" si="1"/>
        <v>1</v>
      </c>
      <c r="O47" s="3"/>
      <c r="P47" s="1" t="s">
        <v>58</v>
      </c>
      <c r="Q47" s="1" t="s">
        <v>246</v>
      </c>
      <c r="R47" s="1" t="s">
        <v>132</v>
      </c>
      <c r="S47" s="1"/>
      <c r="T47" s="1" t="s">
        <v>132</v>
      </c>
      <c r="U47" s="1"/>
      <c r="V47" s="1" t="s">
        <v>40</v>
      </c>
      <c r="W47" s="1"/>
      <c r="X47" s="1"/>
      <c r="Y47" s="1" t="s">
        <v>41</v>
      </c>
      <c r="Z47" s="5" t="s">
        <v>250</v>
      </c>
    </row>
    <row r="48" spans="1:26" x14ac:dyDescent="0.3">
      <c r="A48" s="4">
        <v>46</v>
      </c>
      <c r="B48" s="1" t="s">
        <v>251</v>
      </c>
      <c r="C48" s="1" t="s">
        <v>252</v>
      </c>
      <c r="D48" s="1" t="s">
        <v>53</v>
      </c>
      <c r="E48" s="1" t="s">
        <v>90</v>
      </c>
      <c r="F48" s="1" t="s">
        <v>253</v>
      </c>
      <c r="G48" s="1">
        <v>4</v>
      </c>
      <c r="H48" s="6" t="str">
        <f>IFERROR(VLOOKUP(F48, Index!C:D, 2, FALSE), "")</f>
        <v>Peterbos</v>
      </c>
      <c r="I48" s="2"/>
      <c r="J48" s="1"/>
      <c r="K48" s="1" t="s">
        <v>47</v>
      </c>
      <c r="L48" s="3">
        <v>45740</v>
      </c>
      <c r="M48" s="3">
        <v>45740</v>
      </c>
      <c r="N48" s="1">
        <f t="shared" si="1"/>
        <v>1</v>
      </c>
      <c r="O48" s="3">
        <v>45775</v>
      </c>
      <c r="P48" s="1" t="s">
        <v>36</v>
      </c>
      <c r="Q48" s="1" t="s">
        <v>254</v>
      </c>
      <c r="R48" s="1" t="s">
        <v>60</v>
      </c>
      <c r="S48" s="1"/>
      <c r="T48" s="1"/>
      <c r="U48" s="1"/>
      <c r="V48" s="1" t="s">
        <v>40</v>
      </c>
      <c r="W48" s="1"/>
      <c r="X48" s="1"/>
      <c r="Y48" s="1" t="s">
        <v>41</v>
      </c>
      <c r="Z48" s="5" t="s">
        <v>159</v>
      </c>
    </row>
    <row r="49" spans="1:26" x14ac:dyDescent="0.3">
      <c r="A49" s="4">
        <v>47</v>
      </c>
      <c r="B49" s="1" t="s">
        <v>255</v>
      </c>
      <c r="C49" s="1" t="s">
        <v>256</v>
      </c>
      <c r="D49" s="1" t="s">
        <v>29</v>
      </c>
      <c r="E49" s="1" t="s">
        <v>90</v>
      </c>
      <c r="F49" s="1" t="s">
        <v>244</v>
      </c>
      <c r="G49" s="1">
        <v>6</v>
      </c>
      <c r="H49" s="6" t="str">
        <f>IFERROR(VLOOKUP(F49, Index!C:D, 2, FALSE), "")</f>
        <v>Vaillance</v>
      </c>
      <c r="I49" s="2" t="s">
        <v>257</v>
      </c>
      <c r="J49" s="1"/>
      <c r="K49" s="1" t="s">
        <v>47</v>
      </c>
      <c r="L49" s="3">
        <v>45695</v>
      </c>
      <c r="M49" s="3">
        <v>45695</v>
      </c>
      <c r="N49" s="1">
        <f t="shared" si="1"/>
        <v>1</v>
      </c>
      <c r="O49" s="3">
        <v>45770</v>
      </c>
      <c r="P49" s="1" t="s">
        <v>58</v>
      </c>
      <c r="Q49" s="1" t="s">
        <v>246</v>
      </c>
      <c r="R49" s="1" t="s">
        <v>60</v>
      </c>
      <c r="S49" s="1"/>
      <c r="T49" s="1"/>
      <c r="U49" s="1"/>
      <c r="V49" s="1" t="s">
        <v>40</v>
      </c>
      <c r="W49" s="1"/>
      <c r="X49" s="1"/>
      <c r="Y49" s="1" t="s">
        <v>41</v>
      </c>
      <c r="Z49" s="5" t="s">
        <v>250</v>
      </c>
    </row>
    <row r="50" spans="1:26" x14ac:dyDescent="0.3">
      <c r="A50" s="4">
        <v>48</v>
      </c>
      <c r="B50" s="1" t="s">
        <v>258</v>
      </c>
      <c r="C50" s="1"/>
      <c r="D50" s="1" t="s">
        <v>29</v>
      </c>
      <c r="E50" s="1" t="s">
        <v>90</v>
      </c>
      <c r="F50" s="1" t="s">
        <v>220</v>
      </c>
      <c r="G50" s="1">
        <v>65</v>
      </c>
      <c r="H50" s="6" t="str">
        <f>IFERROR(VLOOKUP(F50, Index!C:D, 2, FALSE), "")</f>
        <v>Vaillance</v>
      </c>
      <c r="I50" s="2" t="s">
        <v>259</v>
      </c>
      <c r="J50" s="1"/>
      <c r="K50" s="1" t="s">
        <v>47</v>
      </c>
      <c r="L50" s="3">
        <v>45735</v>
      </c>
      <c r="M50" s="3">
        <v>45744</v>
      </c>
      <c r="N50" s="1">
        <f t="shared" si="1"/>
        <v>9</v>
      </c>
      <c r="O50" s="3">
        <v>45810</v>
      </c>
      <c r="P50" s="1" t="s">
        <v>58</v>
      </c>
      <c r="Q50" s="1" t="s">
        <v>260</v>
      </c>
      <c r="R50" s="1" t="s">
        <v>37</v>
      </c>
      <c r="S50" s="1"/>
      <c r="T50" s="1"/>
      <c r="U50" s="1"/>
      <c r="V50" s="1" t="s">
        <v>40</v>
      </c>
      <c r="W50" s="1"/>
      <c r="X50" s="1"/>
      <c r="Y50" s="1" t="s">
        <v>41</v>
      </c>
      <c r="Z50" s="5" t="s">
        <v>159</v>
      </c>
    </row>
    <row r="51" spans="1:26" x14ac:dyDescent="0.3">
      <c r="A51" s="4">
        <v>49</v>
      </c>
      <c r="B51" s="1" t="s">
        <v>261</v>
      </c>
      <c r="C51" s="1"/>
      <c r="D51" s="1" t="s">
        <v>53</v>
      </c>
      <c r="E51" s="1" t="s">
        <v>90</v>
      </c>
      <c r="F51" s="1"/>
      <c r="G51" s="1"/>
      <c r="H51" s="6" t="s">
        <v>262</v>
      </c>
      <c r="I51" s="2" t="s">
        <v>263</v>
      </c>
      <c r="J51" s="1"/>
      <c r="K51" s="1" t="s">
        <v>47</v>
      </c>
      <c r="L51" s="3">
        <v>45733</v>
      </c>
      <c r="M51" s="3">
        <v>45733</v>
      </c>
      <c r="N51" s="1">
        <f t="shared" si="1"/>
        <v>1</v>
      </c>
      <c r="O51" s="3">
        <v>45764</v>
      </c>
      <c r="P51" s="1" t="s">
        <v>71</v>
      </c>
      <c r="Q51" s="1" t="s">
        <v>264</v>
      </c>
      <c r="R51" s="1" t="s">
        <v>60</v>
      </c>
      <c r="S51" s="1"/>
      <c r="T51" s="1"/>
      <c r="U51" s="1"/>
      <c r="V51" s="1" t="s">
        <v>40</v>
      </c>
      <c r="W51" s="1"/>
      <c r="X51" s="1"/>
      <c r="Y51" s="1" t="s">
        <v>41</v>
      </c>
      <c r="Z51" s="5" t="s">
        <v>108</v>
      </c>
    </row>
    <row r="52" spans="1:26" x14ac:dyDescent="0.3">
      <c r="A52" s="4">
        <v>50</v>
      </c>
      <c r="B52" s="1" t="s">
        <v>265</v>
      </c>
      <c r="C52" s="1"/>
      <c r="D52" s="1" t="s">
        <v>29</v>
      </c>
      <c r="E52" s="1" t="s">
        <v>30</v>
      </c>
      <c r="F52" s="1" t="s">
        <v>266</v>
      </c>
      <c r="G52" s="1">
        <v>110</v>
      </c>
      <c r="H52" s="6" t="str">
        <f>IFERROR(VLOOKUP(F52, Index!C:D, 2, FALSE), "")</f>
        <v>Peterbos</v>
      </c>
      <c r="I52" s="2" t="s">
        <v>267</v>
      </c>
      <c r="J52" s="1"/>
      <c r="K52" s="1" t="s">
        <v>47</v>
      </c>
      <c r="L52" s="3">
        <v>45702</v>
      </c>
      <c r="M52" s="3">
        <v>45702</v>
      </c>
      <c r="N52" s="1">
        <f t="shared" si="1"/>
        <v>1</v>
      </c>
      <c r="O52" s="3">
        <v>45744</v>
      </c>
      <c r="P52" s="1" t="s">
        <v>58</v>
      </c>
      <c r="Q52" s="1" t="s">
        <v>268</v>
      </c>
      <c r="R52" s="1" t="s">
        <v>60</v>
      </c>
      <c r="S52" s="1"/>
      <c r="T52" s="1"/>
      <c r="U52" s="1"/>
      <c r="V52" s="1" t="s">
        <v>40</v>
      </c>
      <c r="W52" s="1"/>
      <c r="X52" s="1"/>
      <c r="Y52" s="1" t="s">
        <v>41</v>
      </c>
      <c r="Z52" s="5" t="s">
        <v>42</v>
      </c>
    </row>
    <row r="53" spans="1:26" x14ac:dyDescent="0.3">
      <c r="A53" s="4">
        <v>51</v>
      </c>
      <c r="B53" s="1" t="s">
        <v>269</v>
      </c>
      <c r="C53" s="1"/>
      <c r="D53" s="1" t="s">
        <v>53</v>
      </c>
      <c r="E53" s="1" t="s">
        <v>54</v>
      </c>
      <c r="F53" s="1" t="s">
        <v>270</v>
      </c>
      <c r="G53" s="1">
        <v>17</v>
      </c>
      <c r="H53" s="6" t="str">
        <f>IFERROR(VLOOKUP(F53, Index!C:D, 2, FALSE), "")</f>
        <v>Cureghem</v>
      </c>
      <c r="I53" s="2" t="s">
        <v>271</v>
      </c>
      <c r="J53" s="1"/>
      <c r="K53" s="1" t="s">
        <v>47</v>
      </c>
      <c r="L53" s="3">
        <v>45719</v>
      </c>
      <c r="M53" s="3">
        <v>45730</v>
      </c>
      <c r="N53" s="1">
        <f t="shared" si="1"/>
        <v>11</v>
      </c>
      <c r="O53" s="3">
        <v>45743</v>
      </c>
      <c r="P53" s="1" t="s">
        <v>71</v>
      </c>
      <c r="Q53" s="1" t="s">
        <v>272</v>
      </c>
      <c r="R53" s="1" t="s">
        <v>60</v>
      </c>
      <c r="S53" s="1"/>
      <c r="T53" s="1"/>
      <c r="U53" s="1"/>
      <c r="V53" s="1" t="s">
        <v>40</v>
      </c>
      <c r="W53" s="1"/>
      <c r="X53" s="1"/>
      <c r="Y53" s="1" t="s">
        <v>41</v>
      </c>
      <c r="Z53" s="5" t="s">
        <v>62</v>
      </c>
    </row>
    <row r="54" spans="1:26" x14ac:dyDescent="0.3">
      <c r="A54" s="4">
        <v>52</v>
      </c>
      <c r="B54" s="1" t="s">
        <v>273</v>
      </c>
      <c r="C54" s="1"/>
      <c r="D54" s="1" t="s">
        <v>29</v>
      </c>
      <c r="E54" s="1" t="s">
        <v>30</v>
      </c>
      <c r="F54" s="1"/>
      <c r="G54" s="1"/>
      <c r="H54" s="6" t="str">
        <f>IFERROR(VLOOKUP(F54, Index!C:D, 2, FALSE), "")</f>
        <v/>
      </c>
      <c r="I54" s="2" t="s">
        <v>274</v>
      </c>
      <c r="J54" s="1"/>
      <c r="K54" s="1" t="s">
        <v>275</v>
      </c>
      <c r="L54" s="3">
        <v>45695</v>
      </c>
      <c r="M54" s="3">
        <v>45702</v>
      </c>
      <c r="N54" s="1">
        <f t="shared" si="1"/>
        <v>7</v>
      </c>
      <c r="O54" s="3">
        <v>45748</v>
      </c>
      <c r="P54" s="1" t="s">
        <v>117</v>
      </c>
      <c r="Q54" s="1"/>
      <c r="R54" s="1" t="s">
        <v>276</v>
      </c>
      <c r="S54" s="1"/>
      <c r="T54" s="1" t="s">
        <v>276</v>
      </c>
      <c r="U54" s="1"/>
      <c r="V54" s="1" t="s">
        <v>40</v>
      </c>
      <c r="W54" s="1"/>
      <c r="X54" s="1"/>
      <c r="Y54" s="1" t="s">
        <v>41</v>
      </c>
      <c r="Z54" s="5" t="s">
        <v>62</v>
      </c>
    </row>
    <row r="55" spans="1:26" x14ac:dyDescent="0.3">
      <c r="A55" s="4">
        <v>53</v>
      </c>
      <c r="B55" s="1" t="s">
        <v>277</v>
      </c>
      <c r="C55" s="1"/>
      <c r="D55" s="1" t="s">
        <v>29</v>
      </c>
      <c r="E55" s="1" t="s">
        <v>30</v>
      </c>
      <c r="F55" s="1"/>
      <c r="G55" s="1"/>
      <c r="H55" s="6" t="str">
        <f>IFERROR(VLOOKUP(F55, Index!C:D, 2, FALSE), "")</f>
        <v/>
      </c>
      <c r="I55" s="2"/>
      <c r="J55" s="1"/>
      <c r="K55" s="1" t="s">
        <v>47</v>
      </c>
      <c r="L55" s="3">
        <v>45726</v>
      </c>
      <c r="M55" s="3">
        <v>45726</v>
      </c>
      <c r="N55" s="1">
        <f t="shared" si="1"/>
        <v>1</v>
      </c>
      <c r="O55" s="3">
        <v>45748</v>
      </c>
      <c r="P55" s="1" t="s">
        <v>58</v>
      </c>
      <c r="Q55" s="1" t="s">
        <v>278</v>
      </c>
      <c r="R55" s="1" t="s">
        <v>279</v>
      </c>
      <c r="S55" s="1"/>
      <c r="T55" s="1"/>
      <c r="U55" s="1"/>
      <c r="V55" s="1" t="s">
        <v>40</v>
      </c>
      <c r="W55" s="1"/>
      <c r="X55" s="1"/>
      <c r="Y55" s="1" t="s">
        <v>41</v>
      </c>
      <c r="Z55" s="5" t="s">
        <v>66</v>
      </c>
    </row>
    <row r="56" spans="1:26" x14ac:dyDescent="0.3">
      <c r="A56" s="4">
        <v>54</v>
      </c>
      <c r="B56" s="1" t="s">
        <v>280</v>
      </c>
      <c r="C56" s="1" t="s">
        <v>281</v>
      </c>
      <c r="D56" s="1" t="s">
        <v>29</v>
      </c>
      <c r="E56" s="1" t="s">
        <v>30</v>
      </c>
      <c r="F56" s="1"/>
      <c r="G56" s="1"/>
      <c r="H56" s="6" t="str">
        <f>IFERROR(VLOOKUP(F56, Index!C:D, 2, FALSE), "")</f>
        <v/>
      </c>
      <c r="I56" s="2" t="s">
        <v>282</v>
      </c>
      <c r="J56" s="1"/>
      <c r="K56" s="1" t="s">
        <v>47</v>
      </c>
      <c r="L56" s="3">
        <v>45688</v>
      </c>
      <c r="M56" s="3">
        <v>45692</v>
      </c>
      <c r="N56" s="1">
        <f t="shared" si="1"/>
        <v>4</v>
      </c>
      <c r="O56" s="3">
        <v>45748</v>
      </c>
      <c r="P56" s="1" t="s">
        <v>58</v>
      </c>
      <c r="Q56" s="1"/>
      <c r="R56" s="1"/>
      <c r="S56" s="1"/>
      <c r="T56" s="1"/>
      <c r="U56" s="1"/>
      <c r="V56" s="1" t="s">
        <v>40</v>
      </c>
      <c r="W56" s="1"/>
      <c r="X56" s="1"/>
      <c r="Y56" s="1" t="s">
        <v>41</v>
      </c>
      <c r="Z56" s="5" t="s">
        <v>66</v>
      </c>
    </row>
    <row r="57" spans="1:26" x14ac:dyDescent="0.3">
      <c r="A57" s="4">
        <v>55</v>
      </c>
      <c r="B57" s="1" t="s">
        <v>283</v>
      </c>
      <c r="C57" s="1" t="s">
        <v>252</v>
      </c>
      <c r="D57" s="1" t="s">
        <v>53</v>
      </c>
      <c r="E57" s="1" t="s">
        <v>30</v>
      </c>
      <c r="F57" s="1"/>
      <c r="G57" s="1"/>
      <c r="H57" s="6" t="str">
        <f>IFERROR(VLOOKUP(F57, Index!C:D, 2, FALSE), "")</f>
        <v/>
      </c>
      <c r="I57" s="2" t="s">
        <v>284</v>
      </c>
      <c r="J57" s="1"/>
      <c r="K57" s="1" t="s">
        <v>47</v>
      </c>
      <c r="L57" s="3">
        <v>45691</v>
      </c>
      <c r="M57" s="3">
        <v>45691</v>
      </c>
      <c r="N57" s="1">
        <f t="shared" si="1"/>
        <v>1</v>
      </c>
      <c r="O57" s="3">
        <v>45748</v>
      </c>
      <c r="P57" s="1" t="s">
        <v>117</v>
      </c>
      <c r="Q57" s="1"/>
      <c r="R57" s="1"/>
      <c r="S57" s="1"/>
      <c r="T57" s="1"/>
      <c r="U57" s="1"/>
      <c r="V57" s="1" t="s">
        <v>40</v>
      </c>
      <c r="W57" s="1"/>
      <c r="X57" s="1"/>
      <c r="Y57" s="1" t="s">
        <v>41</v>
      </c>
      <c r="Z57" s="5" t="s">
        <v>62</v>
      </c>
    </row>
    <row r="58" spans="1:26" x14ac:dyDescent="0.3">
      <c r="A58" s="4">
        <v>56</v>
      </c>
      <c r="B58" s="1" t="s">
        <v>285</v>
      </c>
      <c r="C58" s="1"/>
      <c r="D58" s="1" t="s">
        <v>29</v>
      </c>
      <c r="E58" s="1" t="s">
        <v>30</v>
      </c>
      <c r="F58" s="1" t="s">
        <v>286</v>
      </c>
      <c r="G58" s="1">
        <v>76</v>
      </c>
      <c r="H58" s="6" t="str">
        <f>IFERROR(VLOOKUP(F58, Index!C:D, 2, FALSE), "")</f>
        <v>Vaillance</v>
      </c>
      <c r="I58" s="2" t="s">
        <v>287</v>
      </c>
      <c r="J58" s="1"/>
      <c r="K58" s="1" t="s">
        <v>47</v>
      </c>
      <c r="L58" s="3">
        <v>45720</v>
      </c>
      <c r="M58" s="3">
        <v>45720</v>
      </c>
      <c r="N58" s="1">
        <f>IF(OR(L58="", M58=""), "", IF(L58=M58, 1, M58 - L58))</f>
        <v>1</v>
      </c>
      <c r="O58" s="3">
        <v>45728</v>
      </c>
      <c r="P58" s="1" t="s">
        <v>36</v>
      </c>
      <c r="Q58" s="1"/>
      <c r="R58" s="1"/>
      <c r="S58" s="1"/>
      <c r="T58" s="1" t="s">
        <v>73</v>
      </c>
      <c r="U58" s="1"/>
      <c r="V58" s="1" t="s">
        <v>40</v>
      </c>
      <c r="W58" s="1"/>
      <c r="X58" s="1"/>
      <c r="Y58" s="1" t="s">
        <v>41</v>
      </c>
      <c r="Z58" s="5" t="s">
        <v>66</v>
      </c>
    </row>
    <row r="59" spans="1:26" x14ac:dyDescent="0.3">
      <c r="A59" s="4">
        <v>57</v>
      </c>
      <c r="B59" s="1" t="s">
        <v>288</v>
      </c>
      <c r="C59" s="1"/>
      <c r="D59" s="1" t="s">
        <v>53</v>
      </c>
      <c r="E59" s="1" t="s">
        <v>30</v>
      </c>
      <c r="F59" s="1" t="s">
        <v>289</v>
      </c>
      <c r="G59" s="1">
        <v>17</v>
      </c>
      <c r="H59" s="6" t="str">
        <f>IFERROR(VLOOKUP(F59, Index!C:D, 2, FALSE), "")</f>
        <v>Cureghem</v>
      </c>
      <c r="I59" s="2" t="s">
        <v>290</v>
      </c>
      <c r="J59" s="1"/>
      <c r="K59" s="1" t="s">
        <v>47</v>
      </c>
      <c r="L59" s="3">
        <v>45691</v>
      </c>
      <c r="M59" s="3">
        <v>45691</v>
      </c>
      <c r="N59" s="1">
        <f t="shared" si="1"/>
        <v>1</v>
      </c>
      <c r="O59" s="3">
        <v>45700</v>
      </c>
      <c r="P59" s="1" t="s">
        <v>58</v>
      </c>
      <c r="Q59" s="1" t="s">
        <v>291</v>
      </c>
      <c r="R59" s="1" t="s">
        <v>38</v>
      </c>
      <c r="S59" s="1" t="s">
        <v>292</v>
      </c>
      <c r="T59" s="1"/>
      <c r="U59" s="1"/>
      <c r="V59" s="1" t="s">
        <v>40</v>
      </c>
      <c r="W59" s="1"/>
      <c r="X59" s="1"/>
      <c r="Y59" s="1" t="s">
        <v>41</v>
      </c>
      <c r="Z59" s="5" t="s">
        <v>62</v>
      </c>
    </row>
    <row r="60" spans="1:26" x14ac:dyDescent="0.3">
      <c r="A60" s="4">
        <v>58</v>
      </c>
      <c r="B60" s="1" t="s">
        <v>293</v>
      </c>
      <c r="C60" s="1" t="s">
        <v>294</v>
      </c>
      <c r="D60" s="1" t="s">
        <v>29</v>
      </c>
      <c r="E60" s="1" t="s">
        <v>30</v>
      </c>
      <c r="F60" s="1" t="s">
        <v>295</v>
      </c>
      <c r="G60" s="1"/>
      <c r="H60" s="6" t="str">
        <f>IFERROR(VLOOKUP(F60, Index!C:D, 2, FALSE), "")</f>
        <v>Cureghem</v>
      </c>
      <c r="I60" s="2" t="s">
        <v>296</v>
      </c>
      <c r="J60" s="78" t="s">
        <v>297</v>
      </c>
      <c r="K60" s="1" t="s">
        <v>47</v>
      </c>
      <c r="L60" s="3">
        <v>45680</v>
      </c>
      <c r="M60" s="3">
        <v>45680</v>
      </c>
      <c r="N60" s="1">
        <f t="shared" si="1"/>
        <v>1</v>
      </c>
      <c r="O60" s="3">
        <v>45707</v>
      </c>
      <c r="P60" s="1" t="s">
        <v>58</v>
      </c>
      <c r="Q60" s="1" t="s">
        <v>298</v>
      </c>
      <c r="R60" s="1" t="s">
        <v>37</v>
      </c>
      <c r="S60" s="1"/>
      <c r="T60" s="1" t="s">
        <v>299</v>
      </c>
      <c r="U60" s="1"/>
      <c r="V60" s="1" t="s">
        <v>40</v>
      </c>
      <c r="W60" s="1" t="s">
        <v>299</v>
      </c>
      <c r="X60" s="1"/>
      <c r="Y60" s="1" t="s">
        <v>41</v>
      </c>
      <c r="Z60" s="5" t="s">
        <v>62</v>
      </c>
    </row>
    <row r="61" spans="1:26" x14ac:dyDescent="0.3">
      <c r="A61" s="4">
        <v>59</v>
      </c>
      <c r="B61" s="1" t="s">
        <v>300</v>
      </c>
      <c r="C61" s="1" t="s">
        <v>281</v>
      </c>
      <c r="D61" s="1" t="s">
        <v>29</v>
      </c>
      <c r="E61" s="1" t="s">
        <v>30</v>
      </c>
      <c r="F61" s="1" t="s">
        <v>301</v>
      </c>
      <c r="G61" s="1"/>
      <c r="H61" s="6" t="str">
        <f>IFERROR(VLOOKUP(F61, Index!C:D, 2, FALSE), "")</f>
        <v>Peterbos</v>
      </c>
      <c r="I61" s="2"/>
      <c r="J61" s="1"/>
      <c r="K61" s="1" t="s">
        <v>47</v>
      </c>
      <c r="L61" s="3">
        <v>45681</v>
      </c>
      <c r="M61" s="3">
        <v>45691</v>
      </c>
      <c r="N61" s="1">
        <f t="shared" si="1"/>
        <v>10</v>
      </c>
      <c r="O61" s="3">
        <v>45707</v>
      </c>
      <c r="P61" s="1" t="s">
        <v>58</v>
      </c>
      <c r="Q61" s="1" t="s">
        <v>302</v>
      </c>
      <c r="R61" s="1" t="s">
        <v>37</v>
      </c>
      <c r="S61" s="1"/>
      <c r="T61" s="1"/>
      <c r="U61" s="1"/>
      <c r="V61" s="1" t="s">
        <v>40</v>
      </c>
      <c r="W61" s="1"/>
      <c r="X61" s="1"/>
      <c r="Y61" s="1" t="s">
        <v>41</v>
      </c>
      <c r="Z61" s="5" t="s">
        <v>66</v>
      </c>
    </row>
    <row r="62" spans="1:26" x14ac:dyDescent="0.3">
      <c r="A62" s="4">
        <v>60</v>
      </c>
      <c r="B62" s="1" t="s">
        <v>303</v>
      </c>
      <c r="C62" s="1"/>
      <c r="D62" s="1" t="s">
        <v>53</v>
      </c>
      <c r="E62" s="1" t="s">
        <v>30</v>
      </c>
      <c r="F62" s="1"/>
      <c r="G62" s="1"/>
      <c r="H62" s="6" t="str">
        <f>IFERROR(VLOOKUP(F62, Index!C:D, 2, FALSE), "")</f>
        <v/>
      </c>
      <c r="I62" s="2" t="s">
        <v>304</v>
      </c>
      <c r="J62" s="1"/>
      <c r="K62" s="1" t="s">
        <v>47</v>
      </c>
      <c r="L62" s="3">
        <v>45693</v>
      </c>
      <c r="M62" s="3">
        <v>45693</v>
      </c>
      <c r="N62" s="1">
        <f t="shared" si="1"/>
        <v>1</v>
      </c>
      <c r="O62" s="3">
        <v>45700</v>
      </c>
      <c r="P62" s="1" t="s">
        <v>71</v>
      </c>
      <c r="Q62" s="1" t="s">
        <v>305</v>
      </c>
      <c r="R62" s="1" t="s">
        <v>37</v>
      </c>
      <c r="S62" s="1"/>
      <c r="T62" s="1"/>
      <c r="U62" s="1"/>
      <c r="V62" s="1" t="s">
        <v>40</v>
      </c>
      <c r="W62" s="1"/>
      <c r="X62" s="1"/>
      <c r="Y62" s="1" t="s">
        <v>41</v>
      </c>
      <c r="Z62" s="5" t="s">
        <v>66</v>
      </c>
    </row>
    <row r="63" spans="1:26" x14ac:dyDescent="0.3">
      <c r="A63" s="4">
        <v>61</v>
      </c>
      <c r="B63" s="1" t="s">
        <v>306</v>
      </c>
      <c r="C63" s="1" t="s">
        <v>307</v>
      </c>
      <c r="D63" s="1" t="s">
        <v>53</v>
      </c>
      <c r="E63" s="1" t="s">
        <v>30</v>
      </c>
      <c r="F63" s="1" t="s">
        <v>308</v>
      </c>
      <c r="G63" s="1">
        <v>38</v>
      </c>
      <c r="H63" s="6" t="str">
        <f>IFERROR(VLOOKUP(F63, Index!C:D, 2, FALSE), "")</f>
        <v>La Roue</v>
      </c>
      <c r="I63" s="2" t="s">
        <v>309</v>
      </c>
      <c r="J63" s="1"/>
      <c r="K63" s="1" t="s">
        <v>47</v>
      </c>
      <c r="L63" s="3">
        <v>45747</v>
      </c>
      <c r="M63" s="3">
        <v>45747</v>
      </c>
      <c r="N63" s="1">
        <f t="shared" si="1"/>
        <v>1</v>
      </c>
      <c r="O63" s="3">
        <v>45784</v>
      </c>
      <c r="P63" s="1" t="s">
        <v>36</v>
      </c>
      <c r="Q63" s="1" t="s">
        <v>310</v>
      </c>
      <c r="R63" s="1" t="s">
        <v>132</v>
      </c>
      <c r="S63" s="1"/>
      <c r="T63" s="1" t="s">
        <v>132</v>
      </c>
      <c r="U63" s="1"/>
      <c r="V63" s="1" t="s">
        <v>40</v>
      </c>
      <c r="W63" s="1"/>
      <c r="X63" s="1"/>
      <c r="Y63" s="1" t="s">
        <v>41</v>
      </c>
      <c r="Z63" s="5" t="s">
        <v>250</v>
      </c>
    </row>
    <row r="64" spans="1:26" x14ac:dyDescent="0.3">
      <c r="A64" s="4">
        <v>62</v>
      </c>
      <c r="B64" s="1" t="s">
        <v>311</v>
      </c>
      <c r="C64" s="1" t="s">
        <v>312</v>
      </c>
      <c r="D64" s="1" t="s">
        <v>29</v>
      </c>
      <c r="E64" s="1" t="s">
        <v>90</v>
      </c>
      <c r="F64" s="1" t="s">
        <v>86</v>
      </c>
      <c r="G64" s="1"/>
      <c r="H64" s="6" t="str">
        <f>IFERROR(VLOOKUP(F64, Index!C:D, 2, FALSE), "")</f>
        <v>SECTEUR</v>
      </c>
      <c r="I64" s="2" t="s">
        <v>313</v>
      </c>
      <c r="J64" s="1"/>
      <c r="K64" s="1" t="s">
        <v>89</v>
      </c>
      <c r="L64" s="3">
        <v>45749</v>
      </c>
      <c r="M64" s="3">
        <v>45749</v>
      </c>
      <c r="N64" s="1">
        <f t="shared" si="1"/>
        <v>1</v>
      </c>
      <c r="O64" s="3">
        <v>45749</v>
      </c>
      <c r="P64" s="1" t="s">
        <v>71</v>
      </c>
      <c r="Q64" s="1" t="s">
        <v>314</v>
      </c>
      <c r="R64" s="1" t="s">
        <v>37</v>
      </c>
      <c r="S64" s="1"/>
      <c r="T64" s="1"/>
      <c r="U64" s="1" t="s">
        <v>315</v>
      </c>
      <c r="V64" s="1" t="s">
        <v>40</v>
      </c>
      <c r="W64" s="1"/>
      <c r="X64" s="1" t="s">
        <v>315</v>
      </c>
      <c r="Y64" s="1" t="s">
        <v>41</v>
      </c>
      <c r="Z64" s="5" t="s">
        <v>42</v>
      </c>
    </row>
    <row r="65" spans="1:26" x14ac:dyDescent="0.3">
      <c r="A65" s="4">
        <v>63</v>
      </c>
      <c r="B65" s="1" t="s">
        <v>316</v>
      </c>
      <c r="C65" s="1" t="s">
        <v>312</v>
      </c>
      <c r="D65" s="1" t="s">
        <v>29</v>
      </c>
      <c r="E65" s="1" t="s">
        <v>30</v>
      </c>
      <c r="F65" s="1" t="s">
        <v>86</v>
      </c>
      <c r="G65" s="1"/>
      <c r="H65" s="6" t="str">
        <f>IFERROR(VLOOKUP(F65, Index!C:D, 2, FALSE), "")</f>
        <v>SECTEUR</v>
      </c>
      <c r="I65" s="2" t="s">
        <v>317</v>
      </c>
      <c r="J65" s="1"/>
      <c r="K65" s="1" t="s">
        <v>89</v>
      </c>
      <c r="L65" s="3">
        <v>45749</v>
      </c>
      <c r="M65" s="3">
        <v>45749</v>
      </c>
      <c r="N65" s="1">
        <f t="shared" ref="N65:N127" si="2">IF(OR(L65="", M65=""), "", IF(L65=M65, 1, M65 - L65))</f>
        <v>1</v>
      </c>
      <c r="O65" s="3"/>
      <c r="P65" s="1" t="s">
        <v>71</v>
      </c>
      <c r="Q65" s="1" t="s">
        <v>318</v>
      </c>
      <c r="R65" s="1" t="s">
        <v>37</v>
      </c>
      <c r="S65" s="1"/>
      <c r="T65" s="1"/>
      <c r="U65" s="1"/>
      <c r="V65" s="1" t="s">
        <v>40</v>
      </c>
      <c r="W65" s="1"/>
      <c r="X65" s="1"/>
      <c r="Y65" s="1" t="s">
        <v>41</v>
      </c>
      <c r="Z65" s="5" t="s">
        <v>42</v>
      </c>
    </row>
    <row r="66" spans="1:26" x14ac:dyDescent="0.3">
      <c r="A66" s="4">
        <v>64</v>
      </c>
      <c r="B66" s="1" t="s">
        <v>319</v>
      </c>
      <c r="C66" s="1" t="s">
        <v>320</v>
      </c>
      <c r="D66" s="1" t="s">
        <v>29</v>
      </c>
      <c r="E66" s="1" t="s">
        <v>30</v>
      </c>
      <c r="F66" s="1" t="s">
        <v>137</v>
      </c>
      <c r="G66" s="1">
        <v>61</v>
      </c>
      <c r="H66" s="6" t="str">
        <f>IFERROR(VLOOKUP(F66, Index!C:D, 2, FALSE), "")</f>
        <v>Cureghem</v>
      </c>
      <c r="I66" s="2" t="s">
        <v>321</v>
      </c>
      <c r="J66" s="1"/>
      <c r="K66" s="1" t="s">
        <v>47</v>
      </c>
      <c r="L66" s="3">
        <v>45719</v>
      </c>
      <c r="M66" s="3">
        <v>45751</v>
      </c>
      <c r="N66" s="1">
        <f t="shared" si="2"/>
        <v>32</v>
      </c>
      <c r="O66" s="3">
        <v>45835</v>
      </c>
      <c r="P66" s="1" t="s">
        <v>58</v>
      </c>
      <c r="Q66" s="1" t="s">
        <v>59</v>
      </c>
      <c r="R66" s="1" t="s">
        <v>213</v>
      </c>
      <c r="S66" s="1"/>
      <c r="T66" s="1" t="s">
        <v>38</v>
      </c>
      <c r="U66" s="1" t="s">
        <v>322</v>
      </c>
      <c r="V66" s="1" t="s">
        <v>40</v>
      </c>
      <c r="W66" s="1"/>
      <c r="X66" s="1"/>
      <c r="Y66" s="1" t="s">
        <v>41</v>
      </c>
      <c r="Z66" s="5" t="s">
        <v>62</v>
      </c>
    </row>
    <row r="67" spans="1:26" x14ac:dyDescent="0.3">
      <c r="A67" s="4">
        <v>65</v>
      </c>
      <c r="B67" s="1" t="s">
        <v>323</v>
      </c>
      <c r="C67" s="1" t="s">
        <v>324</v>
      </c>
      <c r="D67" s="1" t="s">
        <v>53</v>
      </c>
      <c r="E67" s="1" t="s">
        <v>54</v>
      </c>
      <c r="F67" s="1" t="s">
        <v>325</v>
      </c>
      <c r="G67" s="1">
        <v>33</v>
      </c>
      <c r="H67" s="6" t="str">
        <f>IFERROR(VLOOKUP(F67, Index!C:D, 2, FALSE), "")</f>
        <v>Peterbos</v>
      </c>
      <c r="I67" s="2" t="s">
        <v>326</v>
      </c>
      <c r="J67" s="1"/>
      <c r="K67" s="1" t="s">
        <v>47</v>
      </c>
      <c r="L67" s="3">
        <v>45751</v>
      </c>
      <c r="M67" s="3">
        <v>45751</v>
      </c>
      <c r="N67" s="1">
        <f t="shared" si="2"/>
        <v>1</v>
      </c>
      <c r="O67" s="3">
        <v>45790</v>
      </c>
      <c r="P67" s="1" t="s">
        <v>36</v>
      </c>
      <c r="Q67" s="1" t="s">
        <v>327</v>
      </c>
      <c r="R67" s="1" t="s">
        <v>38</v>
      </c>
      <c r="S67" s="1" t="s">
        <v>328</v>
      </c>
      <c r="T67" s="1" t="s">
        <v>49</v>
      </c>
      <c r="U67" s="1"/>
      <c r="V67" s="1" t="s">
        <v>40</v>
      </c>
      <c r="W67" s="1"/>
      <c r="X67" s="1"/>
      <c r="Y67" s="1" t="s">
        <v>41</v>
      </c>
      <c r="Z67" s="5" t="s">
        <v>42</v>
      </c>
    </row>
    <row r="68" spans="1:26" x14ac:dyDescent="0.3">
      <c r="A68" s="4">
        <v>66</v>
      </c>
      <c r="B68" s="1" t="s">
        <v>329</v>
      </c>
      <c r="C68" s="1" t="s">
        <v>102</v>
      </c>
      <c r="D68" s="1" t="s">
        <v>29</v>
      </c>
      <c r="E68" s="1" t="s">
        <v>30</v>
      </c>
      <c r="F68" s="1" t="s">
        <v>86</v>
      </c>
      <c r="G68" s="1"/>
      <c r="H68" s="6" t="str">
        <f>IFERROR(VLOOKUP(F68, Index!C:D, 2, FALSE), "")</f>
        <v>SECTEUR</v>
      </c>
      <c r="I68" s="2" t="s">
        <v>330</v>
      </c>
      <c r="J68" s="78" t="s">
        <v>331</v>
      </c>
      <c r="K68" s="1" t="s">
        <v>89</v>
      </c>
      <c r="L68" s="3">
        <v>45756</v>
      </c>
      <c r="M68" s="3">
        <v>45756</v>
      </c>
      <c r="N68" s="1">
        <f t="shared" si="2"/>
        <v>1</v>
      </c>
      <c r="O68" s="3"/>
      <c r="P68" s="1" t="s">
        <v>117</v>
      </c>
      <c r="Q68" s="1"/>
      <c r="R68" s="1" t="s">
        <v>37</v>
      </c>
      <c r="S68" s="1"/>
      <c r="T68" s="1"/>
      <c r="U68" s="1"/>
      <c r="V68" s="1" t="s">
        <v>40</v>
      </c>
      <c r="W68" s="1"/>
      <c r="X68" s="1"/>
      <c r="Y68" s="1" t="s">
        <v>41</v>
      </c>
      <c r="Z68" s="5" t="s">
        <v>42</v>
      </c>
    </row>
    <row r="69" spans="1:26" x14ac:dyDescent="0.3">
      <c r="A69" s="4">
        <v>67</v>
      </c>
      <c r="B69" s="1" t="s">
        <v>332</v>
      </c>
      <c r="C69" s="1" t="s">
        <v>333</v>
      </c>
      <c r="D69" s="1" t="s">
        <v>53</v>
      </c>
      <c r="E69" s="1" t="s">
        <v>30</v>
      </c>
      <c r="F69" s="1" t="s">
        <v>334</v>
      </c>
      <c r="G69" s="1">
        <v>6</v>
      </c>
      <c r="H69" s="6" t="str">
        <f>IFERROR(VLOOKUP(F69, Index!C:D, 2, FALSE), "")</f>
        <v>Scheut</v>
      </c>
      <c r="I69" s="2" t="s">
        <v>335</v>
      </c>
      <c r="J69" s="1"/>
      <c r="K69" s="1" t="s">
        <v>89</v>
      </c>
      <c r="L69" s="3">
        <v>45790</v>
      </c>
      <c r="M69" s="3">
        <v>45790</v>
      </c>
      <c r="N69" s="1">
        <f t="shared" si="2"/>
        <v>1</v>
      </c>
      <c r="O69" s="3">
        <v>45818</v>
      </c>
      <c r="P69" s="1" t="s">
        <v>36</v>
      </c>
      <c r="Q69" s="1" t="s">
        <v>336</v>
      </c>
      <c r="R69" s="1" t="s">
        <v>37</v>
      </c>
      <c r="S69" s="1"/>
      <c r="T69" s="1"/>
      <c r="U69" s="1"/>
      <c r="V69" s="1" t="s">
        <v>40</v>
      </c>
      <c r="W69" s="1"/>
      <c r="X69" s="1"/>
      <c r="Y69" s="1" t="s">
        <v>41</v>
      </c>
      <c r="Z69" s="5" t="s">
        <v>108</v>
      </c>
    </row>
    <row r="70" spans="1:26" x14ac:dyDescent="0.3">
      <c r="A70" s="4">
        <v>68</v>
      </c>
      <c r="B70" s="1" t="s">
        <v>337</v>
      </c>
      <c r="C70" s="1" t="s">
        <v>338</v>
      </c>
      <c r="D70" s="1" t="s">
        <v>53</v>
      </c>
      <c r="E70" s="1" t="s">
        <v>30</v>
      </c>
      <c r="F70" s="1" t="s">
        <v>339</v>
      </c>
      <c r="G70" s="1">
        <v>382</v>
      </c>
      <c r="H70" s="6" t="str">
        <f>IFERROR(VLOOKUP(F70, Index!C:D, 2, FALSE), "")</f>
        <v>Neerpede</v>
      </c>
      <c r="I70" s="2" t="s">
        <v>340</v>
      </c>
      <c r="J70" s="1"/>
      <c r="K70" s="1" t="s">
        <v>89</v>
      </c>
      <c r="L70" s="3">
        <v>45791</v>
      </c>
      <c r="M70" s="3">
        <v>45791</v>
      </c>
      <c r="N70" s="1">
        <f t="shared" si="2"/>
        <v>1</v>
      </c>
      <c r="O70" s="3">
        <v>45783</v>
      </c>
      <c r="P70" s="1" t="s">
        <v>36</v>
      </c>
      <c r="Q70" s="1"/>
      <c r="R70" s="1" t="s">
        <v>37</v>
      </c>
      <c r="S70" s="1"/>
      <c r="T70" s="1"/>
      <c r="U70" s="1"/>
      <c r="V70" s="1" t="s">
        <v>40</v>
      </c>
      <c r="W70" s="1"/>
      <c r="X70" s="1"/>
      <c r="Y70" s="1" t="s">
        <v>41</v>
      </c>
      <c r="Z70" s="5" t="s">
        <v>66</v>
      </c>
    </row>
    <row r="71" spans="1:26" x14ac:dyDescent="0.3">
      <c r="A71" s="4">
        <v>69</v>
      </c>
      <c r="B71" s="1" t="s">
        <v>341</v>
      </c>
      <c r="C71" s="1" t="s">
        <v>342</v>
      </c>
      <c r="D71" s="1" t="s">
        <v>29</v>
      </c>
      <c r="E71" s="1" t="s">
        <v>30</v>
      </c>
      <c r="F71" s="1"/>
      <c r="G71" s="1">
        <v>262</v>
      </c>
      <c r="H71" s="6" t="str">
        <f>IFERROR(VLOOKUP(F71, Index!C:D, 2, FALSE), "")</f>
        <v/>
      </c>
      <c r="I71" s="2" t="s">
        <v>343</v>
      </c>
      <c r="J71" s="1"/>
      <c r="K71" s="1" t="s">
        <v>89</v>
      </c>
      <c r="L71" s="3">
        <v>45798</v>
      </c>
      <c r="M71" s="3">
        <v>45798</v>
      </c>
      <c r="N71" s="1">
        <f t="shared" si="2"/>
        <v>1</v>
      </c>
      <c r="O71" s="3"/>
      <c r="P71" s="1" t="s">
        <v>58</v>
      </c>
      <c r="Q71" s="1" t="s">
        <v>336</v>
      </c>
      <c r="R71" s="1" t="s">
        <v>37</v>
      </c>
      <c r="S71" s="1"/>
      <c r="T71" s="1"/>
      <c r="U71" s="1"/>
      <c r="V71" s="1" t="s">
        <v>40</v>
      </c>
      <c r="W71" s="1"/>
      <c r="X71" s="1"/>
      <c r="Y71" s="1" t="s">
        <v>41</v>
      </c>
      <c r="Z71" s="5" t="s">
        <v>62</v>
      </c>
    </row>
    <row r="72" spans="1:26" x14ac:dyDescent="0.3">
      <c r="A72" s="4">
        <v>70</v>
      </c>
      <c r="B72" s="1" t="s">
        <v>344</v>
      </c>
      <c r="C72" s="1" t="s">
        <v>345</v>
      </c>
      <c r="D72" s="1" t="s">
        <v>29</v>
      </c>
      <c r="E72" s="1" t="s">
        <v>30</v>
      </c>
      <c r="F72" s="1"/>
      <c r="G72" s="1"/>
      <c r="H72" s="6" t="str">
        <f>IFERROR(VLOOKUP(F72, Index!C:D, 2, FALSE), "")</f>
        <v/>
      </c>
      <c r="I72" s="2"/>
      <c r="J72" s="78" t="s">
        <v>346</v>
      </c>
      <c r="K72" s="1" t="s">
        <v>89</v>
      </c>
      <c r="L72" s="3">
        <v>45800</v>
      </c>
      <c r="M72" s="3">
        <v>45800</v>
      </c>
      <c r="N72" s="1">
        <f t="shared" si="2"/>
        <v>1</v>
      </c>
      <c r="O72" s="3"/>
      <c r="P72" s="1"/>
      <c r="Q72" s="1"/>
      <c r="R72" s="1" t="s">
        <v>37</v>
      </c>
      <c r="S72" s="1"/>
      <c r="T72" s="1"/>
      <c r="U72" s="1"/>
      <c r="V72" s="1" t="s">
        <v>40</v>
      </c>
      <c r="W72" s="1"/>
      <c r="X72" s="1"/>
      <c r="Y72" s="1" t="s">
        <v>41</v>
      </c>
      <c r="Z72" s="5"/>
    </row>
    <row r="73" spans="1:26" x14ac:dyDescent="0.3">
      <c r="A73" s="4">
        <v>71</v>
      </c>
      <c r="B73" s="1" t="s">
        <v>347</v>
      </c>
      <c r="C73" s="1"/>
      <c r="D73" s="1" t="s">
        <v>53</v>
      </c>
      <c r="E73" s="1" t="s">
        <v>90</v>
      </c>
      <c r="F73" s="1"/>
      <c r="G73" s="1"/>
      <c r="H73" s="6" t="str">
        <f>IFERROR(VLOOKUP(F73, Index!C:D, 2, FALSE), "")</f>
        <v/>
      </c>
      <c r="I73" s="2"/>
      <c r="J73" s="1"/>
      <c r="K73" s="1" t="s">
        <v>47</v>
      </c>
      <c r="L73" s="3">
        <v>45811</v>
      </c>
      <c r="M73" s="3">
        <v>45811</v>
      </c>
      <c r="N73" s="1">
        <f t="shared" si="2"/>
        <v>1</v>
      </c>
      <c r="O73" s="3">
        <v>45811</v>
      </c>
      <c r="P73" s="1" t="s">
        <v>71</v>
      </c>
      <c r="Q73" s="1" t="s">
        <v>348</v>
      </c>
      <c r="R73" s="1" t="s">
        <v>132</v>
      </c>
      <c r="S73" s="1"/>
      <c r="T73" s="1"/>
      <c r="U73" s="1"/>
      <c r="V73" s="1" t="s">
        <v>40</v>
      </c>
      <c r="W73" s="1"/>
      <c r="X73" s="1"/>
      <c r="Y73" s="1" t="s">
        <v>41</v>
      </c>
      <c r="Z73" s="5" t="s">
        <v>250</v>
      </c>
    </row>
    <row r="74" spans="1:26" x14ac:dyDescent="0.3">
      <c r="A74" s="4">
        <v>72</v>
      </c>
      <c r="B74" s="1" t="s">
        <v>349</v>
      </c>
      <c r="C74" s="1" t="s">
        <v>350</v>
      </c>
      <c r="D74" s="1" t="s">
        <v>53</v>
      </c>
      <c r="E74" s="1" t="s">
        <v>30</v>
      </c>
      <c r="F74" s="1" t="s">
        <v>351</v>
      </c>
      <c r="G74" s="1" t="s">
        <v>352</v>
      </c>
      <c r="H74" s="6" t="str">
        <f>IFERROR(VLOOKUP(F74, [1]Index!C:D, 2, FALSE), "")</f>
        <v>Scheut</v>
      </c>
      <c r="I74" s="2" t="s">
        <v>353</v>
      </c>
      <c r="J74" s="1"/>
      <c r="K74" s="1" t="s">
        <v>47</v>
      </c>
      <c r="L74" s="3">
        <v>45732</v>
      </c>
      <c r="M74" s="3">
        <v>45755</v>
      </c>
      <c r="N74" s="1">
        <f t="shared" si="2"/>
        <v>23</v>
      </c>
      <c r="O74" s="3">
        <v>45951</v>
      </c>
      <c r="P74" s="1" t="s">
        <v>58</v>
      </c>
      <c r="Q74" s="1"/>
      <c r="R74" s="1" t="s">
        <v>37</v>
      </c>
      <c r="S74" s="1"/>
      <c r="T74" s="1"/>
      <c r="U74" s="1"/>
      <c r="V74" s="1" t="s">
        <v>40</v>
      </c>
      <c r="W74" s="1"/>
      <c r="X74" s="1"/>
      <c r="Y74" s="1" t="s">
        <v>41</v>
      </c>
      <c r="Z74" s="5" t="s">
        <v>50</v>
      </c>
    </row>
    <row r="75" spans="1:26" x14ac:dyDescent="0.3">
      <c r="A75" s="4">
        <v>73</v>
      </c>
      <c r="B75" s="1" t="s">
        <v>354</v>
      </c>
      <c r="C75" s="1"/>
      <c r="D75" s="1" t="s">
        <v>29</v>
      </c>
      <c r="E75" s="1" t="s">
        <v>30</v>
      </c>
      <c r="F75" s="1" t="s">
        <v>355</v>
      </c>
      <c r="G75" s="1">
        <v>42</v>
      </c>
      <c r="H75" s="6" t="str">
        <f>IFERROR(VLOOKUP(F75, [1]Index!C:D, 2, FALSE), "")</f>
        <v>Parc</v>
      </c>
      <c r="I75" s="2" t="s">
        <v>356</v>
      </c>
      <c r="J75" s="1"/>
      <c r="K75" s="1" t="s">
        <v>47</v>
      </c>
      <c r="L75" s="3">
        <v>45733</v>
      </c>
      <c r="M75" s="3">
        <v>45762</v>
      </c>
      <c r="N75" s="1">
        <f t="shared" si="2"/>
        <v>29</v>
      </c>
      <c r="O75" s="3">
        <v>45951</v>
      </c>
      <c r="P75" s="1" t="s">
        <v>58</v>
      </c>
      <c r="Q75" s="1"/>
      <c r="R75" s="1" t="s">
        <v>38</v>
      </c>
      <c r="S75" s="1" t="s">
        <v>357</v>
      </c>
      <c r="T75" s="1"/>
      <c r="U75" s="1"/>
      <c r="V75" s="1" t="s">
        <v>40</v>
      </c>
      <c r="W75" s="1"/>
      <c r="X75" s="1"/>
      <c r="Y75" s="1" t="s">
        <v>41</v>
      </c>
      <c r="Z75" s="5" t="s">
        <v>108</v>
      </c>
    </row>
    <row r="76" spans="1:26" x14ac:dyDescent="0.3">
      <c r="A76" s="4">
        <v>74</v>
      </c>
      <c r="B76" s="1" t="s">
        <v>358</v>
      </c>
      <c r="C76" s="1" t="s">
        <v>359</v>
      </c>
      <c r="D76" s="1" t="s">
        <v>29</v>
      </c>
      <c r="E76" s="1" t="s">
        <v>30</v>
      </c>
      <c r="F76" s="1" t="s">
        <v>93</v>
      </c>
      <c r="G76" s="1"/>
      <c r="H76" s="6" t="str">
        <f>IFERROR(VLOOKUP(F76, [1]Index!C:D, 2, FALSE), "")</f>
        <v>Cureghem</v>
      </c>
      <c r="I76" s="2" t="s">
        <v>360</v>
      </c>
      <c r="J76" s="1"/>
      <c r="K76" s="1" t="s">
        <v>47</v>
      </c>
      <c r="L76" s="3">
        <v>45772</v>
      </c>
      <c r="M76" s="3">
        <v>45790</v>
      </c>
      <c r="N76" s="1">
        <f t="shared" si="2"/>
        <v>18</v>
      </c>
      <c r="O76" s="3">
        <v>45838</v>
      </c>
      <c r="P76" s="1" t="s">
        <v>48</v>
      </c>
      <c r="Q76" s="1"/>
      <c r="R76" s="1" t="s">
        <v>38</v>
      </c>
      <c r="S76" s="1" t="s">
        <v>361</v>
      </c>
      <c r="T76" s="1"/>
      <c r="U76" s="1"/>
      <c r="V76" s="1" t="s">
        <v>236</v>
      </c>
      <c r="W76" s="1"/>
      <c r="X76" s="1"/>
      <c r="Y76" s="1" t="s">
        <v>41</v>
      </c>
      <c r="Z76" s="5" t="s">
        <v>250</v>
      </c>
    </row>
    <row r="77" spans="1:26" x14ac:dyDescent="0.3">
      <c r="A77" s="4">
        <v>75</v>
      </c>
      <c r="B77" s="1" t="s">
        <v>362</v>
      </c>
      <c r="C77" s="1" t="s">
        <v>363</v>
      </c>
      <c r="D77" s="1" t="s">
        <v>29</v>
      </c>
      <c r="E77" s="1"/>
      <c r="F77" s="1"/>
      <c r="G77" s="1"/>
      <c r="H77" s="6" t="str">
        <f>IFERROR(VLOOKUP(F77, [1]Index!C:D, 2, FALSE), "")</f>
        <v/>
      </c>
      <c r="I77" s="2" t="s">
        <v>364</v>
      </c>
      <c r="J77" s="1"/>
      <c r="K77" s="1" t="s">
        <v>47</v>
      </c>
      <c r="L77" s="3">
        <v>45786</v>
      </c>
      <c r="M77" s="3">
        <v>45786</v>
      </c>
      <c r="N77" s="1">
        <f t="shared" si="2"/>
        <v>1</v>
      </c>
      <c r="O77" s="3">
        <v>45797</v>
      </c>
      <c r="P77" s="1" t="s">
        <v>58</v>
      </c>
      <c r="Q77" s="1"/>
      <c r="R77" s="1" t="s">
        <v>365</v>
      </c>
      <c r="S77" s="1"/>
      <c r="T77" s="1"/>
      <c r="U77" s="1"/>
      <c r="V77" s="1" t="s">
        <v>40</v>
      </c>
      <c r="W77" s="1"/>
      <c r="X77" s="1"/>
      <c r="Y77" s="1" t="s">
        <v>41</v>
      </c>
      <c r="Z77" s="5" t="s">
        <v>159</v>
      </c>
    </row>
    <row r="78" spans="1:26" x14ac:dyDescent="0.3">
      <c r="A78" s="4">
        <v>76</v>
      </c>
      <c r="B78" s="1" t="s">
        <v>366</v>
      </c>
      <c r="C78" s="1" t="s">
        <v>367</v>
      </c>
      <c r="D78" s="1" t="s">
        <v>29</v>
      </c>
      <c r="E78" s="1"/>
      <c r="F78" s="1" t="s">
        <v>289</v>
      </c>
      <c r="G78" s="1">
        <v>30</v>
      </c>
      <c r="H78" s="6" t="str">
        <f>IFERROR(VLOOKUP(F78, [1]Index!C:D, 2, FALSE), "")</f>
        <v>Cureghem</v>
      </c>
      <c r="I78" s="2" t="s">
        <v>368</v>
      </c>
      <c r="J78" s="1"/>
      <c r="K78" s="1" t="s">
        <v>47</v>
      </c>
      <c r="L78" s="3">
        <v>45784</v>
      </c>
      <c r="M78" s="3">
        <v>45790</v>
      </c>
      <c r="N78" s="1">
        <f t="shared" si="2"/>
        <v>6</v>
      </c>
      <c r="O78" s="3">
        <v>45798</v>
      </c>
      <c r="P78" s="1" t="s">
        <v>58</v>
      </c>
      <c r="Q78" s="1"/>
      <c r="R78" s="1" t="s">
        <v>38</v>
      </c>
      <c r="S78" s="1" t="s">
        <v>369</v>
      </c>
      <c r="T78" s="1"/>
      <c r="U78" s="1"/>
      <c r="V78" s="1" t="s">
        <v>236</v>
      </c>
      <c r="W78" s="1"/>
      <c r="X78" s="1"/>
      <c r="Y78" s="1" t="s">
        <v>41</v>
      </c>
      <c r="Z78" s="5" t="s">
        <v>62</v>
      </c>
    </row>
    <row r="79" spans="1:26" x14ac:dyDescent="0.3">
      <c r="A79" s="4">
        <v>77</v>
      </c>
      <c r="B79" s="1" t="s">
        <v>370</v>
      </c>
      <c r="C79" s="1"/>
      <c r="D79" s="1" t="s">
        <v>53</v>
      </c>
      <c r="E79" s="1" t="s">
        <v>90</v>
      </c>
      <c r="F79" s="1" t="s">
        <v>150</v>
      </c>
      <c r="G79" s="1">
        <v>32</v>
      </c>
      <c r="H79" s="6" t="str">
        <f>IFERROR(VLOOKUP(F79, [1]Index!C:D, 2, FALSE), "")</f>
        <v>Vaillance</v>
      </c>
      <c r="I79" s="2" t="s">
        <v>371</v>
      </c>
      <c r="J79" s="1"/>
      <c r="K79" s="1" t="s">
        <v>47</v>
      </c>
      <c r="L79" s="3">
        <v>45783</v>
      </c>
      <c r="M79" s="3">
        <v>45790</v>
      </c>
      <c r="N79" s="1">
        <f t="shared" si="2"/>
        <v>7</v>
      </c>
      <c r="O79" s="3">
        <v>45790</v>
      </c>
      <c r="P79" s="1" t="s">
        <v>58</v>
      </c>
      <c r="Q79" s="1"/>
      <c r="R79" s="1" t="s">
        <v>38</v>
      </c>
      <c r="S79" s="1" t="s">
        <v>372</v>
      </c>
      <c r="T79" s="1"/>
      <c r="U79" s="1"/>
      <c r="V79" s="1" t="s">
        <v>40</v>
      </c>
      <c r="W79" s="1"/>
      <c r="X79" s="1"/>
      <c r="Y79" s="1" t="s">
        <v>41</v>
      </c>
      <c r="Z79" s="5" t="s">
        <v>62</v>
      </c>
    </row>
    <row r="80" spans="1:26" x14ac:dyDescent="0.3">
      <c r="A80" s="4">
        <v>78</v>
      </c>
      <c r="B80" s="1" t="s">
        <v>373</v>
      </c>
      <c r="C80" s="1" t="s">
        <v>374</v>
      </c>
      <c r="D80" s="1" t="s">
        <v>29</v>
      </c>
      <c r="E80" s="1" t="s">
        <v>30</v>
      </c>
      <c r="F80" s="1" t="s">
        <v>375</v>
      </c>
      <c r="G80" s="1"/>
      <c r="H80" s="6" t="str">
        <f>IFERROR(VLOOKUP(F80, [1]Index!C:D, 2, FALSE), "")</f>
        <v>Vaillance</v>
      </c>
      <c r="I80" s="2" t="s">
        <v>376</v>
      </c>
      <c r="J80" s="1"/>
      <c r="K80" s="1" t="s">
        <v>47</v>
      </c>
      <c r="L80" s="3">
        <v>45777</v>
      </c>
      <c r="M80" s="3">
        <v>45790</v>
      </c>
      <c r="N80" s="1">
        <f t="shared" si="2"/>
        <v>13</v>
      </c>
      <c r="O80" s="3">
        <v>45790</v>
      </c>
      <c r="P80" s="3"/>
      <c r="Q80" s="3"/>
      <c r="R80" s="1" t="s">
        <v>37</v>
      </c>
      <c r="S80" s="1" t="s">
        <v>377</v>
      </c>
      <c r="T80" s="1"/>
      <c r="U80" s="1"/>
      <c r="V80" s="1" t="s">
        <v>40</v>
      </c>
      <c r="W80" s="1"/>
      <c r="X80" s="1"/>
      <c r="Y80" s="1" t="s">
        <v>41</v>
      </c>
      <c r="Z80" s="5" t="s">
        <v>108</v>
      </c>
    </row>
    <row r="81" spans="1:26" x14ac:dyDescent="0.3">
      <c r="A81" s="4">
        <v>79</v>
      </c>
      <c r="B81" s="1" t="s">
        <v>378</v>
      </c>
      <c r="C81" s="1"/>
      <c r="D81" s="1" t="s">
        <v>29</v>
      </c>
      <c r="E81" s="1" t="s">
        <v>90</v>
      </c>
      <c r="F81" s="1" t="s">
        <v>379</v>
      </c>
      <c r="G81" s="1"/>
      <c r="H81" s="6" t="str">
        <f>IFERROR(VLOOKUP(F81, [1]Index!C:D, 2, FALSE), "")</f>
        <v>La Roue</v>
      </c>
      <c r="I81" s="2" t="s">
        <v>380</v>
      </c>
      <c r="J81" s="1"/>
      <c r="K81" s="1" t="s">
        <v>47</v>
      </c>
      <c r="L81" s="3">
        <v>45772</v>
      </c>
      <c r="M81" s="3">
        <v>45790</v>
      </c>
      <c r="N81" s="1">
        <f t="shared" si="2"/>
        <v>18</v>
      </c>
      <c r="O81" s="3">
        <v>45790</v>
      </c>
      <c r="P81" s="1" t="s">
        <v>58</v>
      </c>
      <c r="Q81" s="1"/>
      <c r="R81" s="1" t="s">
        <v>60</v>
      </c>
      <c r="S81" s="1"/>
      <c r="T81" s="1"/>
      <c r="U81" s="1"/>
      <c r="V81" s="1" t="s">
        <v>40</v>
      </c>
      <c r="W81" s="1"/>
      <c r="X81" s="1"/>
      <c r="Y81" s="1" t="s">
        <v>41</v>
      </c>
      <c r="Z81" s="5" t="s">
        <v>66</v>
      </c>
    </row>
    <row r="82" spans="1:26" x14ac:dyDescent="0.3">
      <c r="A82" s="4">
        <v>80</v>
      </c>
      <c r="B82" s="1" t="s">
        <v>381</v>
      </c>
      <c r="C82" s="1" t="s">
        <v>382</v>
      </c>
      <c r="D82" s="1" t="s">
        <v>53</v>
      </c>
      <c r="E82" s="1"/>
      <c r="F82" s="1" t="s">
        <v>383</v>
      </c>
      <c r="G82" s="1">
        <v>213</v>
      </c>
      <c r="H82" s="6" t="str">
        <f>IFERROR(VLOOKUP(F82, [1]Index!C:D, 2, FALSE), "")</f>
        <v>Scheut</v>
      </c>
      <c r="I82" s="2" t="s">
        <v>384</v>
      </c>
      <c r="J82" s="1"/>
      <c r="K82" s="1" t="s">
        <v>47</v>
      </c>
      <c r="L82" s="3">
        <v>45771</v>
      </c>
      <c r="M82" s="3">
        <v>45790</v>
      </c>
      <c r="N82" s="1">
        <f t="shared" si="2"/>
        <v>19</v>
      </c>
      <c r="O82" s="3">
        <v>45790</v>
      </c>
      <c r="P82" s="1" t="s">
        <v>58</v>
      </c>
      <c r="Q82" s="1"/>
      <c r="R82" s="1" t="s">
        <v>37</v>
      </c>
      <c r="S82" s="1"/>
      <c r="T82" s="1"/>
      <c r="U82" s="1"/>
      <c r="V82" s="1" t="s">
        <v>40</v>
      </c>
      <c r="W82" s="1"/>
      <c r="X82" s="1"/>
      <c r="Y82" s="1" t="s">
        <v>41</v>
      </c>
      <c r="Z82" s="5" t="s">
        <v>66</v>
      </c>
    </row>
    <row r="83" spans="1:26" x14ac:dyDescent="0.3">
      <c r="A83" s="4">
        <v>81</v>
      </c>
      <c r="B83" s="1" t="s">
        <v>385</v>
      </c>
      <c r="C83" s="1"/>
      <c r="D83" s="1" t="s">
        <v>53</v>
      </c>
      <c r="E83" s="1" t="s">
        <v>90</v>
      </c>
      <c r="F83" s="1" t="s">
        <v>386</v>
      </c>
      <c r="G83" s="1">
        <v>20</v>
      </c>
      <c r="H83" s="6" t="str">
        <f>IFERROR(VLOOKUP(F83, [1]Index!C:D, 2, FALSE), "")</f>
        <v>Vaillance</v>
      </c>
      <c r="I83" s="2" t="s">
        <v>387</v>
      </c>
      <c r="J83" s="1"/>
      <c r="K83" s="1" t="s">
        <v>47</v>
      </c>
      <c r="L83" s="3">
        <v>45709</v>
      </c>
      <c r="M83" s="3">
        <v>45751</v>
      </c>
      <c r="N83" s="1">
        <f t="shared" si="2"/>
        <v>42</v>
      </c>
      <c r="O83" s="3">
        <v>45810</v>
      </c>
      <c r="P83" s="1" t="s">
        <v>58</v>
      </c>
      <c r="Q83" s="1"/>
      <c r="R83" s="1" t="s">
        <v>235</v>
      </c>
      <c r="S83" s="1" t="s">
        <v>388</v>
      </c>
      <c r="T83" s="1"/>
      <c r="U83" s="1"/>
      <c r="V83" s="1" t="s">
        <v>236</v>
      </c>
      <c r="W83" s="1"/>
      <c r="X83" s="1"/>
      <c r="Y83" s="1" t="s">
        <v>41</v>
      </c>
      <c r="Z83" s="5" t="s">
        <v>62</v>
      </c>
    </row>
    <row r="84" spans="1:26" x14ac:dyDescent="0.3">
      <c r="A84" s="4">
        <v>82</v>
      </c>
      <c r="B84" s="1" t="s">
        <v>389</v>
      </c>
      <c r="C84" s="1" t="s">
        <v>252</v>
      </c>
      <c r="D84" s="1" t="s">
        <v>53</v>
      </c>
      <c r="E84" s="1" t="s">
        <v>30</v>
      </c>
      <c r="F84" s="1" t="s">
        <v>390</v>
      </c>
      <c r="G84" s="1">
        <v>13</v>
      </c>
      <c r="H84" s="6" t="str">
        <f>IFERROR(VLOOKUP(F84, [1]Index!C:D, 2, FALSE), "")</f>
        <v>La Roue</v>
      </c>
      <c r="I84" s="2" t="s">
        <v>391</v>
      </c>
      <c r="J84" s="1"/>
      <c r="K84" s="1" t="s">
        <v>47</v>
      </c>
      <c r="L84" s="3">
        <v>45718</v>
      </c>
      <c r="M84" s="3">
        <v>45720</v>
      </c>
      <c r="N84" s="1">
        <f t="shared" si="2"/>
        <v>2</v>
      </c>
      <c r="O84" s="3"/>
      <c r="P84" s="1" t="s">
        <v>58</v>
      </c>
      <c r="Q84" s="1"/>
      <c r="R84" s="1" t="s">
        <v>37</v>
      </c>
      <c r="S84" s="1"/>
      <c r="T84" s="1"/>
      <c r="U84" s="1"/>
      <c r="V84" s="1" t="s">
        <v>40</v>
      </c>
      <c r="W84" s="1"/>
      <c r="X84" s="1"/>
      <c r="Y84" s="1" t="s">
        <v>392</v>
      </c>
      <c r="Z84" s="5"/>
    </row>
    <row r="85" spans="1:26" x14ac:dyDescent="0.3">
      <c r="A85" s="4">
        <v>83</v>
      </c>
      <c r="B85" s="1" t="s">
        <v>393</v>
      </c>
      <c r="C85" s="1" t="s">
        <v>394</v>
      </c>
      <c r="D85" s="1" t="s">
        <v>29</v>
      </c>
      <c r="E85" s="1" t="s">
        <v>54</v>
      </c>
      <c r="F85" s="1"/>
      <c r="G85" s="1"/>
      <c r="H85" s="6" t="str">
        <f>IFERROR(VLOOKUP(F85, [1]Index!C:D, 2, FALSE), "")</f>
        <v/>
      </c>
      <c r="I85" s="2" t="s">
        <v>395</v>
      </c>
      <c r="J85" s="1"/>
      <c r="K85" s="1" t="s">
        <v>47</v>
      </c>
      <c r="L85" s="3">
        <v>45756</v>
      </c>
      <c r="M85" s="3">
        <v>45786</v>
      </c>
      <c r="N85" s="1">
        <f t="shared" si="2"/>
        <v>30</v>
      </c>
      <c r="O85" s="3"/>
      <c r="P85" s="1" t="s">
        <v>48</v>
      </c>
      <c r="Q85" s="1"/>
      <c r="R85" s="1" t="s">
        <v>38</v>
      </c>
      <c r="S85" s="1" t="s">
        <v>396</v>
      </c>
      <c r="T85" s="1"/>
      <c r="U85" s="1"/>
      <c r="V85" s="1" t="s">
        <v>40</v>
      </c>
      <c r="W85" s="1"/>
      <c r="X85" s="1"/>
      <c r="Y85" s="1" t="s">
        <v>41</v>
      </c>
      <c r="Z85" s="5" t="s">
        <v>66</v>
      </c>
    </row>
    <row r="86" spans="1:26" x14ac:dyDescent="0.3">
      <c r="A86" s="4">
        <v>84</v>
      </c>
      <c r="B86" s="1" t="s">
        <v>397</v>
      </c>
      <c r="C86" s="1"/>
      <c r="D86" s="1" t="s">
        <v>29</v>
      </c>
      <c r="E86" s="1" t="s">
        <v>30</v>
      </c>
      <c r="F86" s="1" t="s">
        <v>398</v>
      </c>
      <c r="G86" s="1">
        <v>10</v>
      </c>
      <c r="H86" s="6" t="str">
        <f>IFERROR(VLOOKUP(F86, [1]Index!C:D, 2, FALSE), "")</f>
        <v>Cureghem</v>
      </c>
      <c r="I86" s="2"/>
      <c r="J86" s="1"/>
      <c r="K86" s="1" t="s">
        <v>47</v>
      </c>
      <c r="L86" s="3">
        <v>45764</v>
      </c>
      <c r="M86" s="3">
        <v>45764</v>
      </c>
      <c r="N86" s="1">
        <f t="shared" si="2"/>
        <v>1</v>
      </c>
      <c r="O86" s="3">
        <v>45810</v>
      </c>
      <c r="P86" s="1" t="s">
        <v>58</v>
      </c>
      <c r="Q86" s="1"/>
      <c r="R86" s="1" t="s">
        <v>37</v>
      </c>
      <c r="S86" s="1"/>
      <c r="T86" s="1"/>
      <c r="U86" s="1"/>
      <c r="V86" s="1" t="s">
        <v>40</v>
      </c>
      <c r="W86" s="1"/>
      <c r="X86" s="1"/>
      <c r="Y86" s="1" t="s">
        <v>41</v>
      </c>
      <c r="Z86" s="5" t="s">
        <v>66</v>
      </c>
    </row>
    <row r="87" spans="1:26" x14ac:dyDescent="0.3">
      <c r="A87" s="4">
        <v>85</v>
      </c>
      <c r="B87" s="1" t="s">
        <v>399</v>
      </c>
      <c r="C87" s="1"/>
      <c r="D87" s="1" t="s">
        <v>29</v>
      </c>
      <c r="E87" s="1" t="s">
        <v>30</v>
      </c>
      <c r="F87" s="1" t="s">
        <v>400</v>
      </c>
      <c r="G87" s="1">
        <v>82</v>
      </c>
      <c r="H87" s="6" t="str">
        <f>IFERROR(VLOOKUP(F87, [1]Index!C:D, 2, FALSE), "")</f>
        <v>Cureghem</v>
      </c>
      <c r="I87" s="2" t="s">
        <v>401</v>
      </c>
      <c r="J87" s="1"/>
      <c r="K87" s="1" t="s">
        <v>47</v>
      </c>
      <c r="L87" s="3">
        <v>45751</v>
      </c>
      <c r="M87" s="3">
        <v>45763</v>
      </c>
      <c r="N87" s="1">
        <f t="shared" si="2"/>
        <v>12</v>
      </c>
      <c r="O87" s="3">
        <v>45813</v>
      </c>
      <c r="P87" s="1" t="s">
        <v>58</v>
      </c>
      <c r="Q87" s="1"/>
      <c r="R87" s="1" t="s">
        <v>37</v>
      </c>
      <c r="S87" s="1" t="s">
        <v>37</v>
      </c>
      <c r="T87" s="1"/>
      <c r="U87" s="1"/>
      <c r="V87" s="1" t="s">
        <v>40</v>
      </c>
      <c r="W87" s="1"/>
      <c r="X87" s="1"/>
      <c r="Y87" s="1" t="s">
        <v>41</v>
      </c>
      <c r="Z87" s="5" t="s">
        <v>108</v>
      </c>
    </row>
    <row r="88" spans="1:26" x14ac:dyDescent="0.3">
      <c r="A88" s="4">
        <v>86</v>
      </c>
      <c r="B88" s="1" t="s">
        <v>402</v>
      </c>
      <c r="C88" s="1" t="s">
        <v>403</v>
      </c>
      <c r="D88" s="1" t="s">
        <v>29</v>
      </c>
      <c r="E88" s="1" t="s">
        <v>30</v>
      </c>
      <c r="F88" s="1" t="s">
        <v>150</v>
      </c>
      <c r="G88" s="1">
        <v>276</v>
      </c>
      <c r="H88" s="6" t="str">
        <f>IFERROR(VLOOKUP(F88, [1]Index!C:D, 2, FALSE), "")</f>
        <v>Vaillance</v>
      </c>
      <c r="I88" s="2" t="s">
        <v>404</v>
      </c>
      <c r="J88" s="1"/>
      <c r="K88" s="1" t="s">
        <v>47</v>
      </c>
      <c r="L88" s="3">
        <v>45743</v>
      </c>
      <c r="M88" s="3">
        <v>45763</v>
      </c>
      <c r="N88" s="1">
        <f t="shared" si="2"/>
        <v>20</v>
      </c>
      <c r="O88" s="3">
        <v>45789</v>
      </c>
      <c r="P88" s="1" t="s">
        <v>58</v>
      </c>
      <c r="Q88" s="1"/>
      <c r="R88" s="1" t="s">
        <v>38</v>
      </c>
      <c r="S88" s="1" t="s">
        <v>405</v>
      </c>
      <c r="T88" s="1"/>
      <c r="U88" s="1"/>
      <c r="V88" s="1" t="s">
        <v>40</v>
      </c>
      <c r="W88" s="1"/>
      <c r="X88" s="1"/>
      <c r="Y88" s="1" t="s">
        <v>41</v>
      </c>
      <c r="Z88" s="5" t="s">
        <v>62</v>
      </c>
    </row>
    <row r="89" spans="1:26" x14ac:dyDescent="0.3">
      <c r="A89" s="4">
        <v>87</v>
      </c>
      <c r="B89" s="1" t="s">
        <v>406</v>
      </c>
      <c r="C89" s="1" t="s">
        <v>407</v>
      </c>
      <c r="D89" s="1" t="s">
        <v>53</v>
      </c>
      <c r="E89" s="1" t="s">
        <v>30</v>
      </c>
      <c r="F89" s="1" t="s">
        <v>408</v>
      </c>
      <c r="G89" s="1">
        <v>85</v>
      </c>
      <c r="H89" s="6" t="str">
        <f>IFERROR(VLOOKUP(F89, [1]Index!C:D, 2, FALSE), "")</f>
        <v>Cureghem</v>
      </c>
      <c r="I89" s="2" t="s">
        <v>409</v>
      </c>
      <c r="J89" s="1"/>
      <c r="K89" s="1" t="s">
        <v>47</v>
      </c>
      <c r="L89" s="3">
        <v>45757</v>
      </c>
      <c r="M89" s="3">
        <v>45761</v>
      </c>
      <c r="N89" s="1">
        <f t="shared" si="2"/>
        <v>4</v>
      </c>
      <c r="O89" s="3">
        <v>45789</v>
      </c>
      <c r="P89" s="1" t="s">
        <v>36</v>
      </c>
      <c r="Q89" s="1"/>
      <c r="R89" s="1" t="s">
        <v>132</v>
      </c>
      <c r="S89" s="1" t="s">
        <v>132</v>
      </c>
      <c r="T89" s="1"/>
      <c r="U89" s="1"/>
      <c r="V89" s="1" t="s">
        <v>40</v>
      </c>
      <c r="W89" s="1"/>
      <c r="X89" s="1"/>
      <c r="Y89" s="1" t="s">
        <v>41</v>
      </c>
      <c r="Z89" s="5" t="s">
        <v>42</v>
      </c>
    </row>
    <row r="90" spans="1:26" x14ac:dyDescent="0.3">
      <c r="A90" s="4">
        <v>88</v>
      </c>
      <c r="B90" s="1" t="s">
        <v>410</v>
      </c>
      <c r="C90" s="1" t="s">
        <v>411</v>
      </c>
      <c r="D90" s="1" t="s">
        <v>53</v>
      </c>
      <c r="E90" s="1" t="s">
        <v>90</v>
      </c>
      <c r="F90" s="1"/>
      <c r="G90" s="1"/>
      <c r="H90" s="6" t="str">
        <f>IFERROR(VLOOKUP(F90, [1]Index!C:D, 2, FALSE), "")</f>
        <v/>
      </c>
      <c r="I90" s="2" t="s">
        <v>412</v>
      </c>
      <c r="J90" s="1"/>
      <c r="K90" s="1" t="s">
        <v>47</v>
      </c>
      <c r="L90" s="3">
        <v>45758</v>
      </c>
      <c r="M90" s="3">
        <v>45790</v>
      </c>
      <c r="N90" s="1">
        <f t="shared" si="2"/>
        <v>32</v>
      </c>
      <c r="O90" s="3">
        <v>45790</v>
      </c>
      <c r="P90" s="1" t="s">
        <v>58</v>
      </c>
      <c r="Q90" s="1"/>
      <c r="R90" s="1" t="s">
        <v>37</v>
      </c>
      <c r="S90" s="1"/>
      <c r="T90" s="1"/>
      <c r="U90" s="1"/>
      <c r="V90" s="1" t="s">
        <v>40</v>
      </c>
      <c r="W90" s="1"/>
      <c r="X90" s="1"/>
      <c r="Y90" s="1" t="s">
        <v>41</v>
      </c>
      <c r="Z90" s="5" t="s">
        <v>159</v>
      </c>
    </row>
    <row r="91" spans="1:26" x14ac:dyDescent="0.3">
      <c r="A91" s="4">
        <v>89</v>
      </c>
      <c r="B91" s="1" t="s">
        <v>413</v>
      </c>
      <c r="C91" s="1" t="s">
        <v>76</v>
      </c>
      <c r="D91" s="1" t="s">
        <v>29</v>
      </c>
      <c r="E91" s="1" t="s">
        <v>30</v>
      </c>
      <c r="F91" s="1" t="s">
        <v>77</v>
      </c>
      <c r="G91" s="1">
        <v>105</v>
      </c>
      <c r="H91" s="6" t="str">
        <f>IFERROR(VLOOKUP(F91, [1]Index!C:D, 2, FALSE), "")</f>
        <v>Parc</v>
      </c>
      <c r="I91" s="2" t="s">
        <v>78</v>
      </c>
      <c r="J91" s="1"/>
      <c r="K91" s="1" t="s">
        <v>47</v>
      </c>
      <c r="L91" s="3">
        <v>45735</v>
      </c>
      <c r="M91" s="3">
        <v>45765</v>
      </c>
      <c r="N91" s="1">
        <f t="shared" si="2"/>
        <v>30</v>
      </c>
      <c r="O91" s="3">
        <v>45790</v>
      </c>
      <c r="P91" s="1" t="s">
        <v>58</v>
      </c>
      <c r="Q91" s="1"/>
      <c r="R91" s="1" t="s">
        <v>60</v>
      </c>
      <c r="S91" s="1"/>
      <c r="T91" s="1"/>
      <c r="U91" s="1"/>
      <c r="V91" s="1" t="s">
        <v>40</v>
      </c>
      <c r="W91" s="1"/>
      <c r="X91" s="1"/>
      <c r="Y91" s="1" t="s">
        <v>41</v>
      </c>
      <c r="Z91" s="5" t="s">
        <v>62</v>
      </c>
    </row>
    <row r="92" spans="1:26" x14ac:dyDescent="0.3">
      <c r="A92" s="4">
        <v>90</v>
      </c>
      <c r="B92" s="1" t="s">
        <v>414</v>
      </c>
      <c r="C92" s="1" t="s">
        <v>415</v>
      </c>
      <c r="D92" s="1" t="s">
        <v>29</v>
      </c>
      <c r="E92" s="1"/>
      <c r="F92" s="1" t="s">
        <v>416</v>
      </c>
      <c r="G92" s="1">
        <v>70</v>
      </c>
      <c r="H92" s="6" t="str">
        <f>IFERROR(VLOOKUP(F92, [1]Index!C:D, 2, FALSE), "")</f>
        <v>Scheut</v>
      </c>
      <c r="I92" s="2"/>
      <c r="J92" s="78" t="s">
        <v>417</v>
      </c>
      <c r="K92" s="1" t="s">
        <v>47</v>
      </c>
      <c r="L92" s="3">
        <v>45754</v>
      </c>
      <c r="M92" s="3">
        <v>45793</v>
      </c>
      <c r="N92" s="1">
        <f t="shared" si="2"/>
        <v>39</v>
      </c>
      <c r="O92" s="3">
        <v>45793</v>
      </c>
      <c r="P92" s="1" t="s">
        <v>36</v>
      </c>
      <c r="Q92" s="1"/>
      <c r="R92" s="1" t="s">
        <v>37</v>
      </c>
      <c r="S92" s="1"/>
      <c r="T92" s="1"/>
      <c r="U92" s="1"/>
      <c r="V92" s="1" t="s">
        <v>40</v>
      </c>
      <c r="W92" s="1"/>
      <c r="X92" s="1"/>
      <c r="Y92" s="1" t="s">
        <v>41</v>
      </c>
      <c r="Z92" s="5" t="s">
        <v>66</v>
      </c>
    </row>
    <row r="93" spans="1:26" x14ac:dyDescent="0.3">
      <c r="A93" s="4">
        <v>91</v>
      </c>
      <c r="B93" s="1" t="s">
        <v>418</v>
      </c>
      <c r="C93" s="1" t="s">
        <v>419</v>
      </c>
      <c r="D93" s="1" t="s">
        <v>53</v>
      </c>
      <c r="E93" s="1"/>
      <c r="F93" s="1"/>
      <c r="G93" s="1"/>
      <c r="H93" s="6" t="str">
        <f>IFERROR(VLOOKUP(F93, [1]Index!C:D, 2, FALSE), "")</f>
        <v/>
      </c>
      <c r="I93" s="2" t="s">
        <v>420</v>
      </c>
      <c r="J93" s="1"/>
      <c r="K93" s="1" t="s">
        <v>47</v>
      </c>
      <c r="L93" s="3">
        <v>45730</v>
      </c>
      <c r="M93" s="3">
        <v>45763</v>
      </c>
      <c r="N93" s="1">
        <f t="shared" si="2"/>
        <v>33</v>
      </c>
      <c r="O93" s="3">
        <v>45763</v>
      </c>
      <c r="P93" s="1" t="s">
        <v>48</v>
      </c>
      <c r="Q93" s="1"/>
      <c r="R93" s="1" t="s">
        <v>37</v>
      </c>
      <c r="S93" s="1"/>
      <c r="T93" s="1"/>
      <c r="U93" s="1"/>
      <c r="V93" s="1" t="s">
        <v>40</v>
      </c>
      <c r="W93" s="1"/>
      <c r="X93" s="1"/>
      <c r="Y93" s="1" t="s">
        <v>41</v>
      </c>
      <c r="Z93" s="5" t="s">
        <v>159</v>
      </c>
    </row>
    <row r="94" spans="1:26" x14ac:dyDescent="0.3">
      <c r="A94" s="4">
        <v>92</v>
      </c>
      <c r="B94" s="1" t="s">
        <v>421</v>
      </c>
      <c r="C94" s="1"/>
      <c r="D94" s="1" t="s">
        <v>53</v>
      </c>
      <c r="E94" s="1" t="s">
        <v>30</v>
      </c>
      <c r="F94" s="1" t="s">
        <v>422</v>
      </c>
      <c r="G94" s="1">
        <v>40</v>
      </c>
      <c r="H94" s="6" t="str">
        <f>IFERROR(VLOOKUP(F94, [1]Index!C:D, 2, FALSE), "")</f>
        <v>Vaillance</v>
      </c>
      <c r="I94" s="2" t="s">
        <v>423</v>
      </c>
      <c r="J94" s="1"/>
      <c r="K94" s="1" t="s">
        <v>47</v>
      </c>
      <c r="L94" s="3">
        <v>45793</v>
      </c>
      <c r="M94" s="3">
        <v>45793</v>
      </c>
      <c r="N94" s="1">
        <f t="shared" si="2"/>
        <v>1</v>
      </c>
      <c r="O94" s="3">
        <v>45797</v>
      </c>
      <c r="P94" s="1" t="s">
        <v>58</v>
      </c>
      <c r="Q94" s="1" t="s">
        <v>424</v>
      </c>
      <c r="R94" s="1" t="s">
        <v>38</v>
      </c>
      <c r="S94" s="1" t="s">
        <v>425</v>
      </c>
      <c r="T94" s="1"/>
      <c r="U94" s="1"/>
      <c r="V94" s="1" t="s">
        <v>40</v>
      </c>
      <c r="W94" s="1" t="s">
        <v>21</v>
      </c>
      <c r="X94" s="1" t="s">
        <v>426</v>
      </c>
      <c r="Y94" s="1" t="s">
        <v>41</v>
      </c>
      <c r="Z94" s="5" t="s">
        <v>42</v>
      </c>
    </row>
    <row r="95" spans="1:26" x14ac:dyDescent="0.3">
      <c r="A95" s="4">
        <v>93</v>
      </c>
      <c r="B95" s="1" t="s">
        <v>427</v>
      </c>
      <c r="C95" s="1" t="s">
        <v>428</v>
      </c>
      <c r="D95" s="1" t="s">
        <v>53</v>
      </c>
      <c r="E95" s="1" t="s">
        <v>30</v>
      </c>
      <c r="F95" s="1"/>
      <c r="G95" s="1"/>
      <c r="H95" s="6" t="str">
        <f>IFERROR(VLOOKUP(F95, [1]Index!C:D, 2, FALSE), "")</f>
        <v/>
      </c>
      <c r="I95" s="2" t="s">
        <v>429</v>
      </c>
      <c r="J95" s="1"/>
      <c r="K95" s="1" t="s">
        <v>47</v>
      </c>
      <c r="L95" s="3">
        <v>45772</v>
      </c>
      <c r="M95" s="3">
        <v>45790</v>
      </c>
      <c r="N95" s="1">
        <f t="shared" si="2"/>
        <v>18</v>
      </c>
      <c r="O95" s="3">
        <v>45790</v>
      </c>
      <c r="P95" s="1" t="s">
        <v>71</v>
      </c>
      <c r="Q95" s="1" t="s">
        <v>430</v>
      </c>
      <c r="R95" s="1" t="s">
        <v>37</v>
      </c>
      <c r="S95" s="1" t="s">
        <v>431</v>
      </c>
      <c r="T95" s="1"/>
      <c r="U95" s="1"/>
      <c r="V95" s="1" t="s">
        <v>40</v>
      </c>
      <c r="W95" s="1"/>
      <c r="X95" s="1"/>
      <c r="Y95" s="1" t="s">
        <v>41</v>
      </c>
      <c r="Z95" s="5" t="s">
        <v>159</v>
      </c>
    </row>
    <row r="96" spans="1:26" x14ac:dyDescent="0.3">
      <c r="A96" s="4">
        <v>94</v>
      </c>
      <c r="B96" s="1" t="s">
        <v>432</v>
      </c>
      <c r="C96" s="1" t="s">
        <v>433</v>
      </c>
      <c r="D96" s="1" t="s">
        <v>29</v>
      </c>
      <c r="E96" s="1" t="s">
        <v>30</v>
      </c>
      <c r="F96" s="1"/>
      <c r="G96" s="1"/>
      <c r="H96" s="6" t="str">
        <f>IFERROR(VLOOKUP(F96, [1]Index!C:D, 2, FALSE), "")</f>
        <v/>
      </c>
      <c r="I96" s="2" t="s">
        <v>434</v>
      </c>
      <c r="J96" s="1"/>
      <c r="K96" s="1" t="s">
        <v>47</v>
      </c>
      <c r="L96" s="3">
        <v>45758</v>
      </c>
      <c r="M96" s="3">
        <v>45758</v>
      </c>
      <c r="N96" s="1">
        <f t="shared" si="2"/>
        <v>1</v>
      </c>
      <c r="O96" s="3">
        <v>45775</v>
      </c>
      <c r="P96" s="1" t="s">
        <v>36</v>
      </c>
      <c r="Q96" s="1"/>
      <c r="R96" s="1" t="s">
        <v>132</v>
      </c>
      <c r="S96" s="1"/>
      <c r="T96" s="1"/>
      <c r="U96" s="1"/>
      <c r="V96" s="1" t="s">
        <v>40</v>
      </c>
      <c r="W96" s="1"/>
      <c r="X96" s="1"/>
      <c r="Y96" s="1" t="s">
        <v>41</v>
      </c>
      <c r="Z96" s="5" t="s">
        <v>62</v>
      </c>
    </row>
    <row r="97" spans="1:26" x14ac:dyDescent="0.3">
      <c r="A97" s="4">
        <v>95</v>
      </c>
      <c r="B97" s="1" t="s">
        <v>435</v>
      </c>
      <c r="C97" s="1"/>
      <c r="D97" s="1" t="s">
        <v>29</v>
      </c>
      <c r="E97" s="1" t="s">
        <v>30</v>
      </c>
      <c r="F97" s="1" t="s">
        <v>86</v>
      </c>
      <c r="G97" s="1"/>
      <c r="H97" s="6" t="str">
        <f>IFERROR(VLOOKUP(F97, Index!C:D, 2, FALSE), "")</f>
        <v>SECTEUR</v>
      </c>
      <c r="I97" s="2" t="s">
        <v>436</v>
      </c>
      <c r="J97" s="1"/>
      <c r="K97" s="1" t="s">
        <v>89</v>
      </c>
      <c r="L97" s="3">
        <v>45825</v>
      </c>
      <c r="M97" s="3">
        <v>45825</v>
      </c>
      <c r="N97" s="1">
        <f t="shared" si="2"/>
        <v>1</v>
      </c>
      <c r="O97" s="3"/>
      <c r="P97" s="1"/>
      <c r="Q97" s="1"/>
      <c r="R97" s="1"/>
      <c r="S97" s="1"/>
      <c r="T97" s="1"/>
      <c r="U97" s="1"/>
      <c r="V97" s="1"/>
      <c r="W97" s="1"/>
      <c r="X97" s="1"/>
      <c r="Y97" s="1" t="s">
        <v>392</v>
      </c>
      <c r="Z97" s="5"/>
    </row>
    <row r="98" spans="1:26" x14ac:dyDescent="0.3">
      <c r="A98" s="4">
        <v>96</v>
      </c>
      <c r="B98" s="1" t="s">
        <v>437</v>
      </c>
      <c r="C98" s="1"/>
      <c r="D98" s="1" t="s">
        <v>53</v>
      </c>
      <c r="E98" s="1" t="s">
        <v>90</v>
      </c>
      <c r="F98" s="1" t="s">
        <v>86</v>
      </c>
      <c r="G98" s="1"/>
      <c r="H98" s="6" t="str">
        <f>IFERROR(VLOOKUP(F98, Index!C:D, 2, FALSE), "")</f>
        <v>SECTEUR</v>
      </c>
      <c r="I98" s="2" t="s">
        <v>438</v>
      </c>
      <c r="J98" s="78" t="s">
        <v>439</v>
      </c>
      <c r="K98" s="1" t="s">
        <v>89</v>
      </c>
      <c r="L98" s="3">
        <v>45825</v>
      </c>
      <c r="M98" s="3">
        <v>45825</v>
      </c>
      <c r="N98" s="1">
        <f t="shared" si="2"/>
        <v>1</v>
      </c>
      <c r="O98" s="3">
        <v>45874</v>
      </c>
      <c r="P98" s="1" t="s">
        <v>58</v>
      </c>
      <c r="Q98" s="1"/>
      <c r="R98" s="1"/>
      <c r="S98" s="1"/>
      <c r="T98" s="1"/>
      <c r="U98" s="1"/>
      <c r="V98" s="1"/>
      <c r="W98" s="1"/>
      <c r="X98" s="1"/>
      <c r="Y98" s="1" t="s">
        <v>41</v>
      </c>
      <c r="Z98" s="5" t="s">
        <v>62</v>
      </c>
    </row>
    <row r="99" spans="1:26" x14ac:dyDescent="0.3">
      <c r="A99" s="4">
        <v>97</v>
      </c>
      <c r="B99" s="1" t="s">
        <v>440</v>
      </c>
      <c r="C99" s="1" t="s">
        <v>441</v>
      </c>
      <c r="D99" s="1" t="s">
        <v>53</v>
      </c>
      <c r="E99" s="1" t="s">
        <v>30</v>
      </c>
      <c r="F99" s="1" t="s">
        <v>383</v>
      </c>
      <c r="G99" s="1">
        <v>203</v>
      </c>
      <c r="H99" s="6" t="str">
        <f>IFERROR(VLOOKUP(F99, Index!C:D, 2, FALSE), "")</f>
        <v>Scheut</v>
      </c>
      <c r="I99" s="2" t="s">
        <v>442</v>
      </c>
      <c r="J99" s="1"/>
      <c r="K99" s="1" t="s">
        <v>47</v>
      </c>
      <c r="L99" s="3">
        <v>45823</v>
      </c>
      <c r="M99" s="3">
        <v>45825</v>
      </c>
      <c r="N99" s="1">
        <f t="shared" si="2"/>
        <v>2</v>
      </c>
      <c r="O99" s="3">
        <v>45951</v>
      </c>
      <c r="P99" s="1" t="s">
        <v>58</v>
      </c>
      <c r="Q99" s="1"/>
      <c r="R99" s="1" t="s">
        <v>60</v>
      </c>
      <c r="S99" s="1"/>
      <c r="T99" s="1"/>
      <c r="U99" s="1"/>
      <c r="V99" s="1" t="s">
        <v>40</v>
      </c>
      <c r="W99" s="1"/>
      <c r="X99" s="1"/>
      <c r="Y99" s="1" t="s">
        <v>41</v>
      </c>
      <c r="Z99" s="5" t="s">
        <v>159</v>
      </c>
    </row>
    <row r="100" spans="1:26" x14ac:dyDescent="0.3">
      <c r="A100" s="4">
        <v>98</v>
      </c>
      <c r="B100" s="1" t="s">
        <v>443</v>
      </c>
      <c r="C100" s="1"/>
      <c r="D100" s="1" t="s">
        <v>29</v>
      </c>
      <c r="E100" s="1" t="s">
        <v>90</v>
      </c>
      <c r="F100" s="1" t="s">
        <v>444</v>
      </c>
      <c r="G100" s="1">
        <v>33</v>
      </c>
      <c r="H100" s="6" t="str">
        <f>IFERROR(VLOOKUP(F100, Index!C:D, 2, FALSE), "")</f>
        <v>Cureghem</v>
      </c>
      <c r="I100" s="2" t="s">
        <v>445</v>
      </c>
      <c r="J100" s="1"/>
      <c r="K100" s="1" t="s">
        <v>47</v>
      </c>
      <c r="L100" s="3">
        <v>45810</v>
      </c>
      <c r="M100" s="3">
        <v>45811</v>
      </c>
      <c r="N100" s="1">
        <f t="shared" si="2"/>
        <v>1</v>
      </c>
      <c r="O100" s="3">
        <v>45824</v>
      </c>
      <c r="P100" s="1" t="s">
        <v>58</v>
      </c>
      <c r="Q100" s="1"/>
      <c r="R100" s="1" t="s">
        <v>446</v>
      </c>
      <c r="S100" s="1"/>
      <c r="T100" s="1"/>
      <c r="U100" s="1" t="s">
        <v>447</v>
      </c>
      <c r="V100" s="1" t="s">
        <v>236</v>
      </c>
      <c r="W100" s="1" t="s">
        <v>49</v>
      </c>
      <c r="X100" s="1"/>
      <c r="Y100" s="1" t="s">
        <v>41</v>
      </c>
      <c r="Z100" s="5" t="s">
        <v>42</v>
      </c>
    </row>
    <row r="101" spans="1:26" x14ac:dyDescent="0.3">
      <c r="A101" s="4">
        <v>99</v>
      </c>
      <c r="B101" s="1" t="s">
        <v>51</v>
      </c>
      <c r="C101" s="1" t="s">
        <v>52</v>
      </c>
      <c r="D101" s="1" t="s">
        <v>53</v>
      </c>
      <c r="E101" s="1" t="s">
        <v>54</v>
      </c>
      <c r="F101" s="1" t="s">
        <v>55</v>
      </c>
      <c r="G101" s="1">
        <v>190</v>
      </c>
      <c r="H101" s="6" t="str">
        <f>IFERROR(VLOOKUP(F101, Index!C:D, 2, FALSE), "")</f>
        <v>Cureghem</v>
      </c>
      <c r="I101" s="2" t="s">
        <v>56</v>
      </c>
      <c r="J101" s="78" t="s">
        <v>57</v>
      </c>
      <c r="K101" s="1" t="s">
        <v>47</v>
      </c>
      <c r="L101" s="3">
        <v>45805</v>
      </c>
      <c r="M101" s="3">
        <v>45818</v>
      </c>
      <c r="N101" s="1">
        <f t="shared" si="2"/>
        <v>13</v>
      </c>
      <c r="O101" s="3">
        <v>45847</v>
      </c>
      <c r="P101" s="1" t="s">
        <v>58</v>
      </c>
      <c r="Q101" s="1"/>
      <c r="R101" s="1" t="s">
        <v>60</v>
      </c>
      <c r="S101" s="1"/>
      <c r="T101" s="1" t="s">
        <v>132</v>
      </c>
      <c r="U101" s="1"/>
      <c r="V101" s="1" t="s">
        <v>40</v>
      </c>
      <c r="W101" s="1"/>
      <c r="X101" s="1"/>
      <c r="Y101" s="1" t="s">
        <v>41</v>
      </c>
      <c r="Z101" s="5" t="s">
        <v>42</v>
      </c>
    </row>
    <row r="102" spans="1:26" x14ac:dyDescent="0.3">
      <c r="A102" s="4">
        <v>100</v>
      </c>
      <c r="B102" s="1" t="s">
        <v>448</v>
      </c>
      <c r="C102" s="1" t="s">
        <v>449</v>
      </c>
      <c r="D102" s="1" t="s">
        <v>29</v>
      </c>
      <c r="E102" s="1"/>
      <c r="F102" s="1" t="s">
        <v>244</v>
      </c>
      <c r="G102" s="1">
        <v>22</v>
      </c>
      <c r="H102" s="6" t="str">
        <f>IFERROR(VLOOKUP(F102, Index!C:D, 2, FALSE), "")</f>
        <v>Vaillance</v>
      </c>
      <c r="I102" s="2" t="s">
        <v>450</v>
      </c>
      <c r="J102" s="1"/>
      <c r="K102" s="1" t="s">
        <v>47</v>
      </c>
      <c r="L102" s="3">
        <v>45818</v>
      </c>
      <c r="M102" s="3">
        <v>45818</v>
      </c>
      <c r="N102" s="1">
        <f t="shared" si="2"/>
        <v>1</v>
      </c>
      <c r="O102" s="3"/>
      <c r="P102" s="1" t="s">
        <v>58</v>
      </c>
      <c r="Q102" s="1"/>
      <c r="R102" s="1" t="s">
        <v>38</v>
      </c>
      <c r="S102" s="1" t="s">
        <v>431</v>
      </c>
      <c r="T102" s="1"/>
      <c r="U102" s="1"/>
      <c r="V102" s="1" t="s">
        <v>40</v>
      </c>
      <c r="W102" s="1"/>
      <c r="X102" s="1"/>
      <c r="Y102" s="1" t="s">
        <v>41</v>
      </c>
      <c r="Z102" s="5" t="s">
        <v>250</v>
      </c>
    </row>
    <row r="103" spans="1:26" x14ac:dyDescent="0.3">
      <c r="A103" s="4">
        <v>101</v>
      </c>
      <c r="B103" s="1" t="s">
        <v>451</v>
      </c>
      <c r="C103" s="1" t="s">
        <v>452</v>
      </c>
      <c r="D103" s="1" t="s">
        <v>29</v>
      </c>
      <c r="E103" s="1" t="s">
        <v>30</v>
      </c>
      <c r="F103" s="1" t="s">
        <v>375</v>
      </c>
      <c r="G103" s="1">
        <v>76</v>
      </c>
      <c r="H103" s="6" t="str">
        <f>IFERROR(VLOOKUP(F103, Index!C:D, 2, FALSE), "")</f>
        <v>Vaillance</v>
      </c>
      <c r="I103" s="2" t="s">
        <v>453</v>
      </c>
      <c r="J103" s="1"/>
      <c r="K103" s="1" t="s">
        <v>47</v>
      </c>
      <c r="L103" s="3">
        <v>45798</v>
      </c>
      <c r="M103" s="3">
        <v>45798</v>
      </c>
      <c r="N103" s="1">
        <f t="shared" si="2"/>
        <v>1</v>
      </c>
      <c r="O103" s="3">
        <v>45810</v>
      </c>
      <c r="P103" s="1" t="s">
        <v>58</v>
      </c>
      <c r="Q103" s="1"/>
      <c r="R103" s="1" t="s">
        <v>60</v>
      </c>
      <c r="S103" s="1"/>
      <c r="T103" s="1"/>
      <c r="U103" s="1"/>
      <c r="V103" s="1" t="s">
        <v>40</v>
      </c>
      <c r="W103" s="1"/>
      <c r="X103" s="1"/>
      <c r="Y103" s="1" t="s">
        <v>41</v>
      </c>
      <c r="Z103" s="5" t="s">
        <v>159</v>
      </c>
    </row>
    <row r="104" spans="1:26" x14ac:dyDescent="0.3">
      <c r="A104" s="4">
        <v>102</v>
      </c>
      <c r="B104" s="1" t="s">
        <v>454</v>
      </c>
      <c r="C104" s="1"/>
      <c r="D104" s="1" t="s">
        <v>53</v>
      </c>
      <c r="E104" s="1" t="s">
        <v>30</v>
      </c>
      <c r="F104" s="1" t="s">
        <v>455</v>
      </c>
      <c r="G104" s="1">
        <v>21</v>
      </c>
      <c r="H104" s="6" t="str">
        <f>IFERROR(VLOOKUP(F104, Index!C:D, 2, FALSE), "")</f>
        <v>Scheut</v>
      </c>
      <c r="I104" s="2" t="s">
        <v>456</v>
      </c>
      <c r="J104" s="1"/>
      <c r="K104" s="1" t="s">
        <v>47</v>
      </c>
      <c r="L104" s="3">
        <v>45819</v>
      </c>
      <c r="M104" s="3">
        <v>45825</v>
      </c>
      <c r="N104" s="1">
        <f t="shared" si="2"/>
        <v>6</v>
      </c>
      <c r="O104" s="3"/>
      <c r="P104" s="1" t="s">
        <v>58</v>
      </c>
      <c r="Q104" s="1"/>
      <c r="R104" s="1" t="s">
        <v>37</v>
      </c>
      <c r="S104" s="1"/>
      <c r="T104" s="1" t="s">
        <v>38</v>
      </c>
      <c r="U104" s="1" t="s">
        <v>457</v>
      </c>
      <c r="V104" s="1" t="s">
        <v>40</v>
      </c>
      <c r="W104" s="1" t="s">
        <v>38</v>
      </c>
      <c r="X104" s="1" t="s">
        <v>458</v>
      </c>
      <c r="Y104" s="1" t="s">
        <v>41</v>
      </c>
      <c r="Z104" s="5" t="s">
        <v>42</v>
      </c>
    </row>
    <row r="105" spans="1:26" x14ac:dyDescent="0.3">
      <c r="A105" s="4">
        <v>103</v>
      </c>
      <c r="B105" s="1" t="s">
        <v>459</v>
      </c>
      <c r="C105" s="1"/>
      <c r="D105" s="1"/>
      <c r="E105" s="1"/>
      <c r="F105" s="1"/>
      <c r="G105" s="1"/>
      <c r="H105" s="6" t="str">
        <f>IFERROR(VLOOKUP(F105, Index!C:D, 2, FALSE), "")</f>
        <v/>
      </c>
      <c r="I105" s="2" t="s">
        <v>460</v>
      </c>
      <c r="J105" s="1"/>
      <c r="K105" s="1" t="s">
        <v>35</v>
      </c>
      <c r="L105" s="3">
        <v>45810</v>
      </c>
      <c r="M105" s="3">
        <v>45820</v>
      </c>
      <c r="N105" s="1">
        <f t="shared" si="2"/>
        <v>10</v>
      </c>
      <c r="O105" s="3">
        <v>45876</v>
      </c>
      <c r="P105" s="1"/>
      <c r="Q105" s="1"/>
      <c r="R105" s="1"/>
      <c r="S105" s="1"/>
      <c r="T105" s="1"/>
      <c r="U105" s="1"/>
      <c r="V105" s="1"/>
      <c r="W105" s="1"/>
      <c r="X105" s="1"/>
      <c r="Y105" s="1" t="s">
        <v>41</v>
      </c>
      <c r="Z105" s="5" t="s">
        <v>66</v>
      </c>
    </row>
    <row r="106" spans="1:26" x14ac:dyDescent="0.3">
      <c r="A106" s="4">
        <v>104</v>
      </c>
      <c r="B106" s="1" t="s">
        <v>461</v>
      </c>
      <c r="C106" s="1"/>
      <c r="D106" s="1" t="s">
        <v>29</v>
      </c>
      <c r="E106" s="1" t="s">
        <v>30</v>
      </c>
      <c r="F106" s="1" t="s">
        <v>462</v>
      </c>
      <c r="G106" s="1"/>
      <c r="H106" s="6" t="str">
        <f>IFERROR(VLOOKUP(F106, Index!C:D, 2, FALSE), "")</f>
        <v>Cureghem</v>
      </c>
      <c r="I106" s="2" t="s">
        <v>463</v>
      </c>
      <c r="J106" s="1"/>
      <c r="K106" s="1" t="s">
        <v>35</v>
      </c>
      <c r="L106" s="3">
        <v>45818</v>
      </c>
      <c r="M106" s="3">
        <v>45820</v>
      </c>
      <c r="N106" s="1">
        <f t="shared" si="2"/>
        <v>2</v>
      </c>
      <c r="O106" s="3">
        <v>45876</v>
      </c>
      <c r="P106" s="1" t="s">
        <v>48</v>
      </c>
      <c r="Q106" s="1"/>
      <c r="R106" s="1" t="s">
        <v>37</v>
      </c>
      <c r="S106" s="1"/>
      <c r="T106" s="1"/>
      <c r="U106" s="1"/>
      <c r="V106" s="1" t="s">
        <v>40</v>
      </c>
      <c r="W106" s="1" t="s">
        <v>38</v>
      </c>
      <c r="X106" s="1" t="s">
        <v>464</v>
      </c>
      <c r="Y106" s="1" t="s">
        <v>41</v>
      </c>
      <c r="Z106" s="5" t="s">
        <v>42</v>
      </c>
    </row>
    <row r="107" spans="1:26" x14ac:dyDescent="0.3">
      <c r="A107" s="4">
        <v>105</v>
      </c>
      <c r="B107" s="1" t="s">
        <v>465</v>
      </c>
      <c r="C107" s="1" t="s">
        <v>466</v>
      </c>
      <c r="D107" s="1" t="s">
        <v>53</v>
      </c>
      <c r="E107" s="1" t="s">
        <v>30</v>
      </c>
      <c r="F107" s="1" t="s">
        <v>467</v>
      </c>
      <c r="G107" s="1">
        <v>152</v>
      </c>
      <c r="H107" s="6" t="str">
        <f>IFERROR(VLOOKUP(F107, Index!C:D, 2, FALSE), "")</f>
        <v>La Roue</v>
      </c>
      <c r="I107" s="2" t="s">
        <v>468</v>
      </c>
      <c r="J107" s="1"/>
      <c r="K107" s="1" t="s">
        <v>35</v>
      </c>
      <c r="L107" s="3">
        <v>45820</v>
      </c>
      <c r="M107" s="3">
        <v>45827</v>
      </c>
      <c r="N107" s="1">
        <f t="shared" si="2"/>
        <v>7</v>
      </c>
      <c r="O107" s="3">
        <v>45827</v>
      </c>
      <c r="P107" s="1" t="s">
        <v>48</v>
      </c>
      <c r="Q107" s="1"/>
      <c r="R107" s="1" t="s">
        <v>38</v>
      </c>
      <c r="S107" s="1" t="s">
        <v>469</v>
      </c>
      <c r="T107" s="1"/>
      <c r="U107" s="1"/>
      <c r="V107" s="1" t="s">
        <v>40</v>
      </c>
      <c r="W107" s="1" t="s">
        <v>38</v>
      </c>
      <c r="X107" s="1" t="s">
        <v>470</v>
      </c>
      <c r="Y107" s="1" t="s">
        <v>41</v>
      </c>
      <c r="Z107" s="5" t="s">
        <v>62</v>
      </c>
    </row>
    <row r="108" spans="1:26" x14ac:dyDescent="0.3">
      <c r="A108" s="4">
        <v>106</v>
      </c>
      <c r="B108" s="1" t="s">
        <v>471</v>
      </c>
      <c r="C108" s="1" t="s">
        <v>472</v>
      </c>
      <c r="D108" s="1" t="s">
        <v>53</v>
      </c>
      <c r="E108" s="1" t="s">
        <v>90</v>
      </c>
      <c r="F108" s="1" t="s">
        <v>473</v>
      </c>
      <c r="G108" s="1">
        <v>21</v>
      </c>
      <c r="H108" s="6" t="str">
        <f>IFERROR(VLOOKUP(F108, Index!C:D, 2, FALSE), "")</f>
        <v>Vaillance</v>
      </c>
      <c r="I108" s="2" t="s">
        <v>474</v>
      </c>
      <c r="J108" s="1"/>
      <c r="K108" s="1" t="s">
        <v>35</v>
      </c>
      <c r="L108" s="3">
        <v>45827</v>
      </c>
      <c r="M108" s="3">
        <v>45827</v>
      </c>
      <c r="N108" s="1">
        <f t="shared" si="2"/>
        <v>1</v>
      </c>
      <c r="O108" s="3">
        <v>45828</v>
      </c>
      <c r="P108" s="1" t="s">
        <v>58</v>
      </c>
      <c r="Q108" s="1" t="s">
        <v>59</v>
      </c>
      <c r="R108" s="1" t="s">
        <v>37</v>
      </c>
      <c r="S108" s="1"/>
      <c r="T108" s="1"/>
      <c r="U108" s="1"/>
      <c r="V108" s="1" t="s">
        <v>236</v>
      </c>
      <c r="W108" s="1" t="s">
        <v>38</v>
      </c>
      <c r="X108" s="1" t="s">
        <v>475</v>
      </c>
      <c r="Y108" s="1" t="s">
        <v>41</v>
      </c>
      <c r="Z108" s="5" t="s">
        <v>42</v>
      </c>
    </row>
    <row r="109" spans="1:26" x14ac:dyDescent="0.3">
      <c r="A109" s="4">
        <v>107</v>
      </c>
      <c r="B109" s="1" t="s">
        <v>476</v>
      </c>
      <c r="C109" s="1" t="s">
        <v>477</v>
      </c>
      <c r="D109" s="1" t="s">
        <v>53</v>
      </c>
      <c r="E109" s="1" t="s">
        <v>30</v>
      </c>
      <c r="F109" s="1" t="s">
        <v>170</v>
      </c>
      <c r="G109" s="1">
        <v>34</v>
      </c>
      <c r="H109" s="6" t="str">
        <f>IFERROR(VLOOKUP(F109, Index!C:D, 2, FALSE), "")</f>
        <v>Parc</v>
      </c>
      <c r="I109" s="2" t="s">
        <v>478</v>
      </c>
      <c r="J109" s="1"/>
      <c r="K109" s="1" t="s">
        <v>35</v>
      </c>
      <c r="L109" s="3">
        <v>45828</v>
      </c>
      <c r="M109" s="3">
        <v>45832</v>
      </c>
      <c r="N109" s="1">
        <f t="shared" si="2"/>
        <v>4</v>
      </c>
      <c r="O109" s="3">
        <v>45960</v>
      </c>
      <c r="P109" s="1" t="s">
        <v>58</v>
      </c>
      <c r="Q109" s="1" t="s">
        <v>479</v>
      </c>
      <c r="R109" s="1"/>
      <c r="S109" s="1"/>
      <c r="T109" s="1"/>
      <c r="U109" s="1"/>
      <c r="V109" s="1" t="s">
        <v>40</v>
      </c>
      <c r="W109" s="1"/>
      <c r="X109" s="1"/>
      <c r="Y109" s="1" t="s">
        <v>41</v>
      </c>
      <c r="Z109" s="5" t="s">
        <v>50</v>
      </c>
    </row>
    <row r="110" spans="1:26" x14ac:dyDescent="0.3">
      <c r="A110" s="4">
        <v>108</v>
      </c>
      <c r="B110" s="1" t="s">
        <v>480</v>
      </c>
      <c r="C110" s="1" t="s">
        <v>481</v>
      </c>
      <c r="D110" s="1" t="s">
        <v>29</v>
      </c>
      <c r="E110" s="1" t="s">
        <v>30</v>
      </c>
      <c r="F110" s="1" t="s">
        <v>482</v>
      </c>
      <c r="G110" s="1">
        <v>5</v>
      </c>
      <c r="H110" s="6" t="str">
        <f>IFERROR(VLOOKUP(F110, Index!C:D, 2, FALSE), "")</f>
        <v>Cureghem</v>
      </c>
      <c r="I110" s="2" t="s">
        <v>483</v>
      </c>
      <c r="J110" s="1"/>
      <c r="K110" s="1" t="s">
        <v>35</v>
      </c>
      <c r="L110" s="3">
        <v>45835</v>
      </c>
      <c r="M110" s="3">
        <v>45835</v>
      </c>
      <c r="N110" s="1">
        <v>1</v>
      </c>
      <c r="O110" s="3">
        <v>45835</v>
      </c>
      <c r="P110" s="1" t="s">
        <v>36</v>
      </c>
      <c r="Q110" s="1" t="s">
        <v>484</v>
      </c>
      <c r="R110" s="1" t="s">
        <v>299</v>
      </c>
      <c r="S110" s="1"/>
      <c r="T110" s="1" t="s">
        <v>73</v>
      </c>
      <c r="U110" s="1"/>
      <c r="V110" s="1" t="s">
        <v>40</v>
      </c>
      <c r="W110" s="1" t="s">
        <v>73</v>
      </c>
      <c r="X110" s="1" t="s">
        <v>481</v>
      </c>
      <c r="Y110" s="1" t="s">
        <v>41</v>
      </c>
      <c r="Z110" s="5" t="s">
        <v>159</v>
      </c>
    </row>
    <row r="111" spans="1:26" x14ac:dyDescent="0.3">
      <c r="A111" s="4">
        <v>109</v>
      </c>
      <c r="B111" s="1"/>
      <c r="C111" s="1" t="s">
        <v>485</v>
      </c>
      <c r="D111" s="1" t="s">
        <v>53</v>
      </c>
      <c r="E111" s="1" t="s">
        <v>30</v>
      </c>
      <c r="F111" s="1"/>
      <c r="G111" s="1"/>
      <c r="H111" s="6" t="str">
        <f>IFERROR(VLOOKUP(F111, Index!C:D, 2, FALSE), "")</f>
        <v/>
      </c>
      <c r="I111" s="2" t="s">
        <v>486</v>
      </c>
      <c r="J111" s="1"/>
      <c r="K111" s="1" t="s">
        <v>35</v>
      </c>
      <c r="L111" s="3">
        <v>45834</v>
      </c>
      <c r="M111" s="3">
        <v>45835</v>
      </c>
      <c r="N111" s="1">
        <f t="shared" si="2"/>
        <v>1</v>
      </c>
      <c r="O111" s="3">
        <v>45876</v>
      </c>
      <c r="P111" s="1"/>
      <c r="Q111" s="1"/>
      <c r="R111" s="1"/>
      <c r="S111" s="1"/>
      <c r="T111" s="1"/>
      <c r="U111" s="1"/>
      <c r="V111" s="1"/>
      <c r="W111" s="1"/>
      <c r="X111" s="1"/>
      <c r="Y111" s="1" t="s">
        <v>41</v>
      </c>
      <c r="Z111" s="5" t="s">
        <v>66</v>
      </c>
    </row>
    <row r="112" spans="1:26" x14ac:dyDescent="0.3">
      <c r="A112" s="4">
        <v>110</v>
      </c>
      <c r="B112" s="1" t="s">
        <v>487</v>
      </c>
      <c r="C112" s="1"/>
      <c r="D112" s="1" t="s">
        <v>53</v>
      </c>
      <c r="E112" s="1" t="s">
        <v>90</v>
      </c>
      <c r="F112" s="1"/>
      <c r="G112" s="1"/>
      <c r="H112" s="6" t="str">
        <f>IFERROR(VLOOKUP(F112, Index!C:D, 2, FALSE), "")</f>
        <v/>
      </c>
      <c r="I112" s="2"/>
      <c r="J112" s="1"/>
      <c r="K112" s="1" t="s">
        <v>47</v>
      </c>
      <c r="L112" s="3">
        <v>45811</v>
      </c>
      <c r="M112" s="3">
        <v>45811</v>
      </c>
      <c r="N112" s="1">
        <f t="shared" si="2"/>
        <v>1</v>
      </c>
      <c r="O112" s="3">
        <v>45811</v>
      </c>
      <c r="P112" s="1" t="s">
        <v>71</v>
      </c>
      <c r="Q112" s="1" t="s">
        <v>488</v>
      </c>
      <c r="R112" s="1" t="s">
        <v>132</v>
      </c>
      <c r="S112" s="1"/>
      <c r="T112" s="1"/>
      <c r="U112" s="1"/>
      <c r="V112" s="1" t="s">
        <v>40</v>
      </c>
      <c r="W112" s="1"/>
      <c r="X112" s="1"/>
      <c r="Y112" s="1" t="s">
        <v>41</v>
      </c>
      <c r="Z112" s="5" t="s">
        <v>250</v>
      </c>
    </row>
    <row r="113" spans="1:26" x14ac:dyDescent="0.3">
      <c r="A113" s="4">
        <v>111</v>
      </c>
      <c r="B113" s="1" t="s">
        <v>489</v>
      </c>
      <c r="C113" s="1"/>
      <c r="D113" s="1" t="s">
        <v>53</v>
      </c>
      <c r="E113" s="1" t="s">
        <v>90</v>
      </c>
      <c r="F113" s="1" t="s">
        <v>86</v>
      </c>
      <c r="G113" s="1"/>
      <c r="H113" s="6" t="str">
        <f>IFERROR(VLOOKUP(F113, Index!C:D, 2, FALSE), "")</f>
        <v>SECTEUR</v>
      </c>
      <c r="I113" s="2" t="s">
        <v>438</v>
      </c>
      <c r="J113" s="1"/>
      <c r="K113" s="1" t="s">
        <v>89</v>
      </c>
      <c r="L113" s="3">
        <v>45818</v>
      </c>
      <c r="M113" s="3">
        <v>45840</v>
      </c>
      <c r="N113" s="1">
        <f t="shared" si="2"/>
        <v>22</v>
      </c>
      <c r="O113" s="3">
        <v>45874</v>
      </c>
      <c r="P113" s="1" t="s">
        <v>58</v>
      </c>
      <c r="Q113" s="1"/>
      <c r="R113" s="1"/>
      <c r="S113" s="1"/>
      <c r="T113" s="1"/>
      <c r="U113" s="1"/>
      <c r="V113" s="1" t="s">
        <v>40</v>
      </c>
      <c r="W113" s="1"/>
      <c r="X113" s="1"/>
      <c r="Y113" s="1" t="s">
        <v>41</v>
      </c>
      <c r="Z113" s="5" t="s">
        <v>62</v>
      </c>
    </row>
    <row r="114" spans="1:26" x14ac:dyDescent="0.3">
      <c r="A114" s="4">
        <v>112</v>
      </c>
      <c r="B114" s="1" t="s">
        <v>490</v>
      </c>
      <c r="C114" s="1" t="s">
        <v>491</v>
      </c>
      <c r="D114" s="1" t="s">
        <v>53</v>
      </c>
      <c r="E114" s="1" t="s">
        <v>30</v>
      </c>
      <c r="F114" s="1" t="s">
        <v>492</v>
      </c>
      <c r="G114" s="1">
        <v>20</v>
      </c>
      <c r="H114" s="6" t="str">
        <f>IFERROR(VLOOKUP(F114, Index!C:D, 2, FALSE), "")</f>
        <v>Cureghem</v>
      </c>
      <c r="I114" s="2" t="s">
        <v>493</v>
      </c>
      <c r="J114" s="1"/>
      <c r="K114" s="1" t="s">
        <v>35</v>
      </c>
      <c r="L114" s="3">
        <v>45841</v>
      </c>
      <c r="M114" s="3">
        <v>45841</v>
      </c>
      <c r="N114" s="1">
        <f t="shared" si="2"/>
        <v>1</v>
      </c>
      <c r="O114" s="3">
        <v>45841</v>
      </c>
      <c r="P114" s="1" t="s">
        <v>71</v>
      </c>
      <c r="Q114" s="1" t="s">
        <v>365</v>
      </c>
      <c r="R114" s="1" t="s">
        <v>37</v>
      </c>
      <c r="S114" s="1"/>
      <c r="T114" s="1"/>
      <c r="U114" s="1"/>
      <c r="V114" s="1" t="s">
        <v>40</v>
      </c>
      <c r="W114" s="1" t="s">
        <v>73</v>
      </c>
      <c r="X114" s="1"/>
      <c r="Y114" s="1" t="s">
        <v>41</v>
      </c>
      <c r="Z114" s="5" t="s">
        <v>42</v>
      </c>
    </row>
    <row r="115" spans="1:26" x14ac:dyDescent="0.3">
      <c r="A115" s="4">
        <v>113</v>
      </c>
      <c r="B115" s="1" t="s">
        <v>494</v>
      </c>
      <c r="C115" s="1" t="s">
        <v>495</v>
      </c>
      <c r="D115" s="1" t="s">
        <v>53</v>
      </c>
      <c r="E115" s="1" t="s">
        <v>30</v>
      </c>
      <c r="F115" s="1"/>
      <c r="G115" s="1"/>
      <c r="H115" s="6" t="str">
        <f>IFERROR(VLOOKUP(F115, Index!C:D, 2, FALSE), "")</f>
        <v/>
      </c>
      <c r="I115" s="2" t="s">
        <v>496</v>
      </c>
      <c r="J115" s="1"/>
      <c r="K115" s="1" t="s">
        <v>47</v>
      </c>
      <c r="L115" s="3">
        <v>45845</v>
      </c>
      <c r="M115" s="3">
        <v>45846</v>
      </c>
      <c r="N115" s="1">
        <f t="shared" si="2"/>
        <v>1</v>
      </c>
      <c r="O115" s="3">
        <v>45867</v>
      </c>
      <c r="P115" s="1" t="s">
        <v>117</v>
      </c>
      <c r="Q115" s="1"/>
      <c r="R115" s="1" t="s">
        <v>37</v>
      </c>
      <c r="S115" s="1"/>
      <c r="T115" s="1"/>
      <c r="U115" s="1"/>
      <c r="V115" s="1" t="s">
        <v>40</v>
      </c>
      <c r="W115" s="1"/>
      <c r="X115" s="1"/>
      <c r="Y115" s="1" t="s">
        <v>41</v>
      </c>
      <c r="Z115" s="5" t="s">
        <v>66</v>
      </c>
    </row>
    <row r="116" spans="1:26" x14ac:dyDescent="0.3">
      <c r="A116" s="4">
        <v>114</v>
      </c>
      <c r="B116" s="1" t="s">
        <v>497</v>
      </c>
      <c r="C116" s="1" t="s">
        <v>498</v>
      </c>
      <c r="D116" s="1"/>
      <c r="E116" s="1"/>
      <c r="F116" s="1" t="s">
        <v>499</v>
      </c>
      <c r="G116" s="1">
        <v>83</v>
      </c>
      <c r="H116" s="6" t="str">
        <f>IFERROR(VLOOKUP(F116, Index!C:D, 2, FALSE), "")</f>
        <v>Vaillance</v>
      </c>
      <c r="I116" s="2"/>
      <c r="J116" s="1"/>
      <c r="K116" s="1" t="s">
        <v>47</v>
      </c>
      <c r="L116" s="3">
        <v>45846</v>
      </c>
      <c r="M116" s="3">
        <v>45847</v>
      </c>
      <c r="N116" s="1">
        <f t="shared" si="2"/>
        <v>1</v>
      </c>
      <c r="O116" s="3"/>
      <c r="P116" s="1" t="s">
        <v>58</v>
      </c>
      <c r="Q116" s="1"/>
      <c r="R116" s="1" t="s">
        <v>38</v>
      </c>
      <c r="S116" s="1" t="s">
        <v>328</v>
      </c>
      <c r="T116" s="1"/>
      <c r="U116" s="1"/>
      <c r="V116" s="1" t="s">
        <v>40</v>
      </c>
      <c r="W116" s="1"/>
      <c r="X116" s="1"/>
      <c r="Y116" s="1" t="s">
        <v>41</v>
      </c>
      <c r="Z116" s="5" t="s">
        <v>62</v>
      </c>
    </row>
    <row r="117" spans="1:26" x14ac:dyDescent="0.3">
      <c r="A117" s="4">
        <v>115</v>
      </c>
      <c r="B117" s="1" t="s">
        <v>500</v>
      </c>
      <c r="C117" s="1" t="s">
        <v>501</v>
      </c>
      <c r="D117" s="1" t="s">
        <v>29</v>
      </c>
      <c r="E117" s="1"/>
      <c r="F117" s="1"/>
      <c r="G117" s="1"/>
      <c r="H117" s="6" t="str">
        <f>IFERROR(VLOOKUP(F117, Index!C:D, 2, FALSE), "")</f>
        <v/>
      </c>
      <c r="I117" s="2"/>
      <c r="J117" s="1"/>
      <c r="K117" s="1" t="s">
        <v>47</v>
      </c>
      <c r="L117" s="3">
        <v>45828</v>
      </c>
      <c r="M117" s="3">
        <v>45831</v>
      </c>
      <c r="N117" s="1">
        <f t="shared" si="2"/>
        <v>3</v>
      </c>
      <c r="O117" s="3">
        <v>45831</v>
      </c>
      <c r="P117" s="1" t="s">
        <v>48</v>
      </c>
      <c r="Q117" s="1"/>
      <c r="R117" s="1" t="s">
        <v>38</v>
      </c>
      <c r="S117" s="1" t="s">
        <v>502</v>
      </c>
      <c r="T117" s="1"/>
      <c r="U117" s="1"/>
      <c r="V117" s="1" t="s">
        <v>40</v>
      </c>
      <c r="W117" s="1"/>
      <c r="X117" s="1"/>
      <c r="Y117" s="1" t="s">
        <v>41</v>
      </c>
      <c r="Z117" s="5" t="s">
        <v>42</v>
      </c>
    </row>
    <row r="118" spans="1:26" x14ac:dyDescent="0.3">
      <c r="A118" s="4">
        <v>116</v>
      </c>
      <c r="B118" s="1" t="s">
        <v>503</v>
      </c>
      <c r="C118" s="1" t="s">
        <v>504</v>
      </c>
      <c r="D118" s="1" t="s">
        <v>29</v>
      </c>
      <c r="E118" s="1"/>
      <c r="F118" s="1"/>
      <c r="G118" s="1"/>
      <c r="H118" s="6" t="str">
        <f>IFERROR(VLOOKUP(F118, Index!C:D, 2, FALSE), "")</f>
        <v/>
      </c>
      <c r="I118" s="2"/>
      <c r="J118" s="1"/>
      <c r="K118" s="1" t="s">
        <v>47</v>
      </c>
      <c r="L118" s="3">
        <v>45825</v>
      </c>
      <c r="M118" s="3">
        <v>45831</v>
      </c>
      <c r="N118" s="1">
        <f t="shared" si="2"/>
        <v>6</v>
      </c>
      <c r="O118" s="3">
        <v>45863</v>
      </c>
      <c r="P118" s="1" t="s">
        <v>58</v>
      </c>
      <c r="Q118" s="1"/>
      <c r="R118" s="1" t="s">
        <v>38</v>
      </c>
      <c r="S118" s="1" t="s">
        <v>505</v>
      </c>
      <c r="T118" s="1"/>
      <c r="U118" s="1"/>
      <c r="V118" s="1" t="s">
        <v>40</v>
      </c>
      <c r="W118" s="1"/>
      <c r="X118" s="1"/>
      <c r="Y118" s="1" t="s">
        <v>41</v>
      </c>
      <c r="Z118" s="5" t="s">
        <v>159</v>
      </c>
    </row>
    <row r="119" spans="1:26" x14ac:dyDescent="0.3">
      <c r="A119" s="4">
        <v>117</v>
      </c>
      <c r="B119" s="1" t="s">
        <v>506</v>
      </c>
      <c r="C119" s="1" t="s">
        <v>507</v>
      </c>
      <c r="D119" s="1" t="s">
        <v>53</v>
      </c>
      <c r="E119" s="1" t="s">
        <v>30</v>
      </c>
      <c r="F119" s="1" t="s">
        <v>86</v>
      </c>
      <c r="G119" s="1"/>
      <c r="H119" s="6" t="str">
        <f>IFERROR(VLOOKUP(F119, Index!C:D, 2, FALSE), "")</f>
        <v>SECTEUR</v>
      </c>
      <c r="I119" s="2" t="s">
        <v>508</v>
      </c>
      <c r="J119" s="78" t="s">
        <v>509</v>
      </c>
      <c r="K119" s="1" t="s">
        <v>89</v>
      </c>
      <c r="L119" s="3">
        <v>45839</v>
      </c>
      <c r="M119" s="3">
        <v>45853</v>
      </c>
      <c r="N119" s="1">
        <f t="shared" si="2"/>
        <v>14</v>
      </c>
      <c r="O119" s="3"/>
      <c r="P119" s="1" t="s">
        <v>117</v>
      </c>
      <c r="Q119" s="1"/>
      <c r="R119" s="1"/>
      <c r="S119" s="1"/>
      <c r="T119" s="1"/>
      <c r="U119" s="1"/>
      <c r="V119" s="1" t="s">
        <v>40</v>
      </c>
      <c r="W119" s="1"/>
      <c r="X119" s="1" t="s">
        <v>510</v>
      </c>
      <c r="Y119" s="1" t="s">
        <v>41</v>
      </c>
      <c r="Z119" s="5" t="s">
        <v>42</v>
      </c>
    </row>
    <row r="120" spans="1:26" x14ac:dyDescent="0.3">
      <c r="A120" s="4">
        <v>118</v>
      </c>
      <c r="B120" s="1" t="s">
        <v>511</v>
      </c>
      <c r="C120" s="1" t="s">
        <v>512</v>
      </c>
      <c r="D120" s="1" t="s">
        <v>53</v>
      </c>
      <c r="E120" s="1" t="s">
        <v>30</v>
      </c>
      <c r="F120" s="1" t="s">
        <v>513</v>
      </c>
      <c r="G120" s="1" t="s">
        <v>514</v>
      </c>
      <c r="H120" s="6" t="str">
        <f>IFERROR(VLOOKUP(F120, Index!C:D, 2, FALSE), "")</f>
        <v>La Roue</v>
      </c>
      <c r="I120" s="2" t="s">
        <v>515</v>
      </c>
      <c r="J120" s="78" t="s">
        <v>516</v>
      </c>
      <c r="K120" s="1" t="s">
        <v>47</v>
      </c>
      <c r="L120" s="3">
        <v>45848</v>
      </c>
      <c r="M120" s="3">
        <v>45852</v>
      </c>
      <c r="N120" s="1">
        <f t="shared" si="2"/>
        <v>4</v>
      </c>
      <c r="O120" s="3">
        <v>45853</v>
      </c>
      <c r="P120" s="1" t="s">
        <v>71</v>
      </c>
      <c r="Q120" s="1" t="s">
        <v>517</v>
      </c>
      <c r="R120" s="1" t="s">
        <v>213</v>
      </c>
      <c r="S120" s="1"/>
      <c r="T120" s="1" t="s">
        <v>299</v>
      </c>
      <c r="U120" s="1"/>
      <c r="V120" s="1" t="s">
        <v>40</v>
      </c>
      <c r="W120" s="1" t="s">
        <v>299</v>
      </c>
      <c r="X120" s="1"/>
      <c r="Y120" s="1" t="s">
        <v>41</v>
      </c>
      <c r="Z120" s="5" t="s">
        <v>42</v>
      </c>
    </row>
    <row r="121" spans="1:26" x14ac:dyDescent="0.3">
      <c r="A121" s="4">
        <v>119</v>
      </c>
      <c r="B121" s="1" t="s">
        <v>518</v>
      </c>
      <c r="C121" s="1"/>
      <c r="D121" s="1" t="s">
        <v>53</v>
      </c>
      <c r="E121" s="1"/>
      <c r="F121" s="1" t="s">
        <v>519</v>
      </c>
      <c r="G121" s="1">
        <v>19</v>
      </c>
      <c r="H121" s="6" t="str">
        <f>IFERROR(VLOOKUP(F121, Index!C:D, 2, FALSE), "")</f>
        <v>Cureghem</v>
      </c>
      <c r="I121" s="2"/>
      <c r="J121" s="1"/>
      <c r="K121" s="1" t="s">
        <v>47</v>
      </c>
      <c r="L121" s="3">
        <v>45848</v>
      </c>
      <c r="M121" s="3">
        <v>45849</v>
      </c>
      <c r="N121" s="1">
        <f t="shared" si="2"/>
        <v>1</v>
      </c>
      <c r="O121" s="3"/>
      <c r="P121" s="1" t="s">
        <v>71</v>
      </c>
      <c r="Q121" s="1" t="s">
        <v>520</v>
      </c>
      <c r="R121" s="1"/>
      <c r="S121" s="1"/>
      <c r="T121" s="1"/>
      <c r="U121" s="1"/>
      <c r="V121" s="1" t="s">
        <v>40</v>
      </c>
      <c r="W121" s="1"/>
      <c r="X121" s="1"/>
      <c r="Y121" s="1" t="s">
        <v>392</v>
      </c>
      <c r="Z121" s="5"/>
    </row>
    <row r="122" spans="1:26" x14ac:dyDescent="0.3">
      <c r="A122" s="4">
        <v>120</v>
      </c>
      <c r="B122" s="1" t="s">
        <v>521</v>
      </c>
      <c r="C122" s="1" t="s">
        <v>522</v>
      </c>
      <c r="D122" s="1" t="s">
        <v>53</v>
      </c>
      <c r="E122" s="1" t="s">
        <v>90</v>
      </c>
      <c r="F122" s="1" t="s">
        <v>523</v>
      </c>
      <c r="G122" s="1">
        <v>25</v>
      </c>
      <c r="H122" s="6" t="str">
        <f>IFERROR(VLOOKUP(F122, Index!C:D, 2, FALSE), "")</f>
        <v>Scheut</v>
      </c>
      <c r="I122" s="2" t="s">
        <v>524</v>
      </c>
      <c r="J122" s="1"/>
      <c r="K122" s="1" t="s">
        <v>47</v>
      </c>
      <c r="L122" s="3">
        <v>45853</v>
      </c>
      <c r="M122" s="3">
        <v>45854</v>
      </c>
      <c r="N122" s="1">
        <f t="shared" si="2"/>
        <v>1</v>
      </c>
      <c r="O122" s="3"/>
      <c r="P122" s="1" t="s">
        <v>58</v>
      </c>
      <c r="Q122" s="1" t="s">
        <v>424</v>
      </c>
      <c r="R122" s="1" t="s">
        <v>60</v>
      </c>
      <c r="S122" s="1"/>
      <c r="T122" s="1"/>
      <c r="U122" s="1"/>
      <c r="V122" s="1" t="s">
        <v>40</v>
      </c>
      <c r="W122" s="1"/>
      <c r="X122" s="1"/>
      <c r="Y122" s="1" t="s">
        <v>41</v>
      </c>
      <c r="Z122" s="5" t="s">
        <v>250</v>
      </c>
    </row>
    <row r="123" spans="1:26" x14ac:dyDescent="0.3">
      <c r="A123" s="4">
        <v>121</v>
      </c>
      <c r="B123" s="1" t="s">
        <v>525</v>
      </c>
      <c r="C123" s="1" t="s">
        <v>526</v>
      </c>
      <c r="D123" s="1" t="s">
        <v>53</v>
      </c>
      <c r="E123" s="1" t="s">
        <v>30</v>
      </c>
      <c r="F123" s="1" t="s">
        <v>527</v>
      </c>
      <c r="G123" s="1"/>
      <c r="H123" s="6" t="str">
        <f>IFERROR(VLOOKUP(F123, Index!C:D, 2, FALSE), "")</f>
        <v>Cureghem</v>
      </c>
      <c r="I123" s="2" t="s">
        <v>528</v>
      </c>
      <c r="J123" s="1"/>
      <c r="K123" s="1" t="s">
        <v>47</v>
      </c>
      <c r="L123" s="3">
        <v>45846</v>
      </c>
      <c r="M123" s="3">
        <v>45856</v>
      </c>
      <c r="N123" s="1">
        <f t="shared" si="2"/>
        <v>10</v>
      </c>
      <c r="O123" s="3"/>
      <c r="P123" s="1" t="s">
        <v>36</v>
      </c>
      <c r="Q123" s="1" t="s">
        <v>529</v>
      </c>
      <c r="R123" s="1"/>
      <c r="S123" s="1"/>
      <c r="T123" s="1"/>
      <c r="U123" s="1"/>
      <c r="V123" s="1" t="s">
        <v>40</v>
      </c>
      <c r="W123" s="1"/>
      <c r="X123" s="1"/>
      <c r="Y123" s="1" t="s">
        <v>392</v>
      </c>
      <c r="Z123" s="5"/>
    </row>
    <row r="124" spans="1:26" x14ac:dyDescent="0.3">
      <c r="A124" s="4">
        <v>122</v>
      </c>
      <c r="B124" s="1"/>
      <c r="C124" s="1" t="s">
        <v>530</v>
      </c>
      <c r="D124" s="1" t="s">
        <v>53</v>
      </c>
      <c r="E124" s="1" t="s">
        <v>30</v>
      </c>
      <c r="F124" s="1" t="s">
        <v>531</v>
      </c>
      <c r="G124" s="1">
        <v>68</v>
      </c>
      <c r="H124" s="6" t="str">
        <f>IFERROR(VLOOKUP(F124, Index!C:D, 2, FALSE), "")</f>
        <v>Scheut</v>
      </c>
      <c r="I124" s="2" t="s">
        <v>532</v>
      </c>
      <c r="J124" s="1"/>
      <c r="K124" s="1" t="s">
        <v>35</v>
      </c>
      <c r="L124" s="3">
        <v>45863</v>
      </c>
      <c r="M124" s="3">
        <v>45863</v>
      </c>
      <c r="N124" s="1">
        <f t="shared" si="2"/>
        <v>1</v>
      </c>
      <c r="O124" s="3">
        <v>45863</v>
      </c>
      <c r="P124" s="1" t="s">
        <v>58</v>
      </c>
      <c r="Q124" s="1" t="s">
        <v>533</v>
      </c>
      <c r="R124" s="1" t="s">
        <v>37</v>
      </c>
      <c r="S124" s="1"/>
      <c r="T124" s="1"/>
      <c r="U124" s="1"/>
      <c r="V124" s="1" t="s">
        <v>40</v>
      </c>
      <c r="W124" s="1"/>
      <c r="X124" s="1"/>
      <c r="Y124" s="1" t="s">
        <v>41</v>
      </c>
      <c r="Z124" s="5" t="s">
        <v>42</v>
      </c>
    </row>
    <row r="125" spans="1:26" x14ac:dyDescent="0.3">
      <c r="A125" s="4">
        <v>123</v>
      </c>
      <c r="B125" s="1" t="s">
        <v>534</v>
      </c>
      <c r="C125" s="1" t="s">
        <v>535</v>
      </c>
      <c r="D125" s="1" t="s">
        <v>53</v>
      </c>
      <c r="E125" s="1" t="s">
        <v>30</v>
      </c>
      <c r="F125" s="1" t="s">
        <v>536</v>
      </c>
      <c r="G125" s="1">
        <v>57</v>
      </c>
      <c r="H125" s="6" t="str">
        <f>IFERROR(VLOOKUP(F125, Index!C:D, 2, FALSE), "")</f>
        <v>Parc</v>
      </c>
      <c r="I125" s="2" t="s">
        <v>537</v>
      </c>
      <c r="J125" s="1"/>
      <c r="K125" s="1" t="s">
        <v>47</v>
      </c>
      <c r="L125" s="3">
        <v>45862</v>
      </c>
      <c r="M125" s="3">
        <v>45866</v>
      </c>
      <c r="N125" s="1">
        <f t="shared" si="2"/>
        <v>4</v>
      </c>
      <c r="O125" s="3">
        <v>45874</v>
      </c>
      <c r="P125" s="1" t="s">
        <v>48</v>
      </c>
      <c r="Q125" s="1" t="s">
        <v>538</v>
      </c>
      <c r="R125" s="1" t="s">
        <v>37</v>
      </c>
      <c r="S125" s="1"/>
      <c r="T125" s="1"/>
      <c r="U125" s="1"/>
      <c r="V125" s="1" t="s">
        <v>40</v>
      </c>
      <c r="W125" s="1"/>
      <c r="X125" s="1"/>
      <c r="Y125" s="1" t="s">
        <v>41</v>
      </c>
      <c r="Z125" s="5" t="s">
        <v>62</v>
      </c>
    </row>
    <row r="126" spans="1:26" x14ac:dyDescent="0.3">
      <c r="A126" s="4">
        <v>124</v>
      </c>
      <c r="B126" s="1" t="s">
        <v>123</v>
      </c>
      <c r="C126" s="1"/>
      <c r="D126" s="1"/>
      <c r="E126" s="1"/>
      <c r="F126" s="1"/>
      <c r="G126" s="1"/>
      <c r="H126" s="6" t="str">
        <f>IFERROR(VLOOKUP(F126, Index!C:D, 2, FALSE), "")</f>
        <v/>
      </c>
      <c r="I126" s="2"/>
      <c r="J126" s="1"/>
      <c r="K126" s="1"/>
      <c r="L126" s="3"/>
      <c r="M126" s="3"/>
      <c r="N126" s="1" t="str">
        <f t="shared" si="2"/>
        <v/>
      </c>
      <c r="O126" s="3">
        <v>45867</v>
      </c>
      <c r="P126" s="1" t="s">
        <v>58</v>
      </c>
      <c r="Q126" s="1"/>
      <c r="R126" s="1" t="s">
        <v>37</v>
      </c>
      <c r="S126" s="1"/>
      <c r="T126" s="1"/>
      <c r="U126" s="1"/>
      <c r="V126" s="1" t="s">
        <v>40</v>
      </c>
      <c r="W126" s="1"/>
      <c r="X126" s="1"/>
      <c r="Y126" s="1" t="s">
        <v>392</v>
      </c>
      <c r="Z126" s="5"/>
    </row>
    <row r="127" spans="1:26" x14ac:dyDescent="0.3">
      <c r="A127" s="4">
        <v>125</v>
      </c>
      <c r="B127" s="1" t="s">
        <v>539</v>
      </c>
      <c r="C127" s="1" t="s">
        <v>540</v>
      </c>
      <c r="D127" s="1" t="s">
        <v>53</v>
      </c>
      <c r="E127" s="1"/>
      <c r="F127" s="1"/>
      <c r="G127" s="1"/>
      <c r="H127" s="6" t="str">
        <f>IFERROR(VLOOKUP(F127, Index!C:D, 2, FALSE), "")</f>
        <v/>
      </c>
      <c r="I127" s="2" t="s">
        <v>541</v>
      </c>
      <c r="J127" s="1"/>
      <c r="K127" s="1" t="s">
        <v>47</v>
      </c>
      <c r="L127" s="3">
        <v>45875</v>
      </c>
      <c r="M127" s="3">
        <v>45875</v>
      </c>
      <c r="N127" s="1">
        <f t="shared" si="2"/>
        <v>1</v>
      </c>
      <c r="O127" s="3">
        <v>45888</v>
      </c>
      <c r="P127" s="1" t="s">
        <v>58</v>
      </c>
      <c r="Q127" s="1" t="s">
        <v>542</v>
      </c>
      <c r="R127" s="1"/>
      <c r="S127" s="1"/>
      <c r="T127" s="1"/>
      <c r="U127" s="1"/>
      <c r="V127" s="1" t="s">
        <v>40</v>
      </c>
      <c r="W127" s="1"/>
      <c r="X127" s="1"/>
      <c r="Y127" s="1" t="s">
        <v>41</v>
      </c>
      <c r="Z127" s="5" t="s">
        <v>62</v>
      </c>
    </row>
    <row r="128" spans="1:26" x14ac:dyDescent="0.3">
      <c r="A128" s="4">
        <v>126</v>
      </c>
      <c r="B128" s="1" t="s">
        <v>543</v>
      </c>
      <c r="C128" s="1" t="s">
        <v>544</v>
      </c>
      <c r="D128" s="1" t="s">
        <v>53</v>
      </c>
      <c r="E128" s="1"/>
      <c r="F128" s="1" t="s">
        <v>545</v>
      </c>
      <c r="G128" s="1">
        <v>97</v>
      </c>
      <c r="H128" s="6" t="str">
        <f>IFERROR(VLOOKUP(F128, Index!C:D, 2, FALSE), "")</f>
        <v>Scheut</v>
      </c>
      <c r="I128" s="2" t="s">
        <v>546</v>
      </c>
      <c r="J128" s="1"/>
      <c r="K128" s="1" t="s">
        <v>47</v>
      </c>
      <c r="L128" s="3">
        <v>45861</v>
      </c>
      <c r="M128" s="3">
        <v>45862</v>
      </c>
      <c r="N128" s="1">
        <f t="shared" ref="N128:N191" si="3">IF(OR(L128="", M128=""), "", IF(L128=M128, 1, M128 - L128))</f>
        <v>1</v>
      </c>
      <c r="O128" s="3">
        <v>45951</v>
      </c>
      <c r="P128" s="1" t="s">
        <v>58</v>
      </c>
      <c r="Q128" s="1" t="s">
        <v>533</v>
      </c>
      <c r="R128" s="1" t="s">
        <v>37</v>
      </c>
      <c r="S128" s="1"/>
      <c r="T128" s="1" t="s">
        <v>73</v>
      </c>
      <c r="U128" s="1"/>
      <c r="V128" s="1" t="s">
        <v>40</v>
      </c>
      <c r="W128" s="1"/>
      <c r="X128" s="1"/>
      <c r="Y128" s="1" t="s">
        <v>41</v>
      </c>
      <c r="Z128" s="5" t="s">
        <v>50</v>
      </c>
    </row>
    <row r="129" spans="1:26" x14ac:dyDescent="0.3">
      <c r="A129" s="4">
        <v>127</v>
      </c>
      <c r="B129" s="1" t="s">
        <v>547</v>
      </c>
      <c r="C129" s="1"/>
      <c r="D129" s="1" t="s">
        <v>53</v>
      </c>
      <c r="E129" s="1" t="s">
        <v>30</v>
      </c>
      <c r="F129" s="1" t="s">
        <v>55</v>
      </c>
      <c r="G129" s="1"/>
      <c r="H129" s="6" t="str">
        <f>IFERROR(VLOOKUP(F129, Index!C:D, 2, FALSE), "")</f>
        <v>Cureghem</v>
      </c>
      <c r="I129" s="2" t="s">
        <v>548</v>
      </c>
      <c r="J129" s="1"/>
      <c r="K129" s="1" t="s">
        <v>47</v>
      </c>
      <c r="L129" s="3">
        <v>45881</v>
      </c>
      <c r="M129" s="3">
        <v>45881</v>
      </c>
      <c r="N129" s="1">
        <f t="shared" si="3"/>
        <v>1</v>
      </c>
      <c r="O129" s="3"/>
      <c r="P129" s="1" t="s">
        <v>58</v>
      </c>
      <c r="Q129" s="1" t="s">
        <v>549</v>
      </c>
      <c r="R129" s="1" t="s">
        <v>37</v>
      </c>
      <c r="S129" s="1"/>
      <c r="T129" s="1" t="s">
        <v>107</v>
      </c>
      <c r="U129" s="1"/>
      <c r="V129" s="1" t="s">
        <v>40</v>
      </c>
      <c r="W129" s="1"/>
      <c r="X129" s="1"/>
      <c r="Y129" s="1" t="s">
        <v>41</v>
      </c>
      <c r="Z129" s="5" t="s">
        <v>108</v>
      </c>
    </row>
    <row r="130" spans="1:26" x14ac:dyDescent="0.3">
      <c r="A130" s="4">
        <v>128</v>
      </c>
      <c r="B130" s="1" t="s">
        <v>550</v>
      </c>
      <c r="C130" s="1"/>
      <c r="D130" s="1"/>
      <c r="E130" s="1"/>
      <c r="F130" s="1"/>
      <c r="G130" s="1"/>
      <c r="H130" s="6" t="str">
        <f>IFERROR(VLOOKUP(F130, Index!C:D, 2, FALSE), "")</f>
        <v/>
      </c>
      <c r="I130" s="2" t="s">
        <v>551</v>
      </c>
      <c r="J130" s="1"/>
      <c r="K130" s="1" t="s">
        <v>47</v>
      </c>
      <c r="L130" s="3"/>
      <c r="M130" s="3"/>
      <c r="N130" s="1" t="str">
        <f t="shared" si="3"/>
        <v/>
      </c>
      <c r="O130" s="3">
        <v>45881</v>
      </c>
      <c r="P130" s="1" t="s">
        <v>58</v>
      </c>
      <c r="Q130" s="1"/>
      <c r="R130" s="1" t="s">
        <v>37</v>
      </c>
      <c r="S130" s="1"/>
      <c r="T130" s="1"/>
      <c r="U130" s="1"/>
      <c r="V130" s="1" t="s">
        <v>40</v>
      </c>
      <c r="W130" s="1"/>
      <c r="X130" s="1"/>
      <c r="Y130" s="1" t="s">
        <v>392</v>
      </c>
      <c r="Z130" s="5"/>
    </row>
    <row r="131" spans="1:26" x14ac:dyDescent="0.3">
      <c r="A131" s="4">
        <v>129</v>
      </c>
      <c r="B131" s="1" t="s">
        <v>98</v>
      </c>
      <c r="C131" s="1" t="s">
        <v>552</v>
      </c>
      <c r="D131" s="1" t="s">
        <v>29</v>
      </c>
      <c r="E131" s="1" t="s">
        <v>30</v>
      </c>
      <c r="F131" s="1" t="s">
        <v>100</v>
      </c>
      <c r="G131" s="1">
        <v>1</v>
      </c>
      <c r="H131" s="6" t="str">
        <f>IFERROR(VLOOKUP(F131, Index!C:D, 2, FALSE), "")</f>
        <v>Scheut</v>
      </c>
      <c r="I131" s="2" t="s">
        <v>553</v>
      </c>
      <c r="J131" s="1"/>
      <c r="K131" s="1" t="s">
        <v>47</v>
      </c>
      <c r="L131" s="3">
        <v>45881</v>
      </c>
      <c r="M131" s="3">
        <v>45881</v>
      </c>
      <c r="N131" s="1">
        <f t="shared" si="3"/>
        <v>1</v>
      </c>
      <c r="O131" s="3"/>
      <c r="P131" s="1" t="s">
        <v>48</v>
      </c>
      <c r="Q131" s="1" t="s">
        <v>554</v>
      </c>
      <c r="R131" s="1" t="s">
        <v>60</v>
      </c>
      <c r="S131" s="1"/>
      <c r="T131" s="1"/>
      <c r="U131" s="1"/>
      <c r="V131" s="1" t="s">
        <v>40</v>
      </c>
      <c r="W131" s="1"/>
      <c r="X131" s="1"/>
      <c r="Y131" s="1" t="s">
        <v>392</v>
      </c>
      <c r="Z131" s="5"/>
    </row>
    <row r="132" spans="1:26" x14ac:dyDescent="0.3">
      <c r="A132" s="4">
        <v>130</v>
      </c>
      <c r="B132" s="1" t="s">
        <v>555</v>
      </c>
      <c r="C132" s="1" t="s">
        <v>556</v>
      </c>
      <c r="D132" s="1" t="s">
        <v>29</v>
      </c>
      <c r="E132" s="1" t="s">
        <v>30</v>
      </c>
      <c r="F132" s="1" t="s">
        <v>86</v>
      </c>
      <c r="G132" s="1"/>
      <c r="H132" s="6" t="str">
        <f>IFERROR(VLOOKUP(F132, Index!C:D, 2, FALSE), "")</f>
        <v>SECTEUR</v>
      </c>
      <c r="I132" s="2" t="s">
        <v>557</v>
      </c>
      <c r="J132" s="1"/>
      <c r="K132" s="1" t="s">
        <v>89</v>
      </c>
      <c r="L132" s="3">
        <v>45889</v>
      </c>
      <c r="M132" s="3">
        <v>45889</v>
      </c>
      <c r="N132" s="1">
        <f t="shared" si="3"/>
        <v>1</v>
      </c>
      <c r="O132" s="3">
        <v>45910</v>
      </c>
      <c r="P132" s="1" t="s">
        <v>117</v>
      </c>
      <c r="Q132" s="1"/>
      <c r="R132" s="1" t="s">
        <v>37</v>
      </c>
      <c r="S132" s="1"/>
      <c r="T132" s="1"/>
      <c r="U132" s="1"/>
      <c r="V132" s="1" t="s">
        <v>40</v>
      </c>
      <c r="W132" s="1"/>
      <c r="X132" s="1"/>
      <c r="Y132" s="1" t="s">
        <v>41</v>
      </c>
      <c r="Z132" s="5" t="s">
        <v>42</v>
      </c>
    </row>
    <row r="133" spans="1:26" x14ac:dyDescent="0.3">
      <c r="A133" s="4">
        <v>131</v>
      </c>
      <c r="B133" s="1" t="s">
        <v>397</v>
      </c>
      <c r="C133" s="1"/>
      <c r="D133" s="1" t="s">
        <v>29</v>
      </c>
      <c r="E133" s="1" t="s">
        <v>90</v>
      </c>
      <c r="F133" s="1" t="s">
        <v>558</v>
      </c>
      <c r="G133" s="1">
        <v>10</v>
      </c>
      <c r="H133" s="6" t="str">
        <f>IFERROR(VLOOKUP(F133, Index!C:D, 2, FALSE), "")</f>
        <v>Cureghem</v>
      </c>
      <c r="I133" s="2" t="s">
        <v>559</v>
      </c>
      <c r="J133" s="1"/>
      <c r="K133" s="1" t="s">
        <v>47</v>
      </c>
      <c r="L133" s="3">
        <v>45888</v>
      </c>
      <c r="M133" s="3">
        <v>45888</v>
      </c>
      <c r="N133" s="1">
        <f t="shared" si="3"/>
        <v>1</v>
      </c>
      <c r="O133" s="3">
        <v>45894</v>
      </c>
      <c r="P133" s="1" t="s">
        <v>48</v>
      </c>
      <c r="Q133" s="1"/>
      <c r="R133" s="1" t="s">
        <v>60</v>
      </c>
      <c r="S133" s="1"/>
      <c r="T133" s="1"/>
      <c r="U133" s="1"/>
      <c r="V133" s="1" t="s">
        <v>40</v>
      </c>
      <c r="W133" s="1"/>
      <c r="X133" s="1"/>
      <c r="Y133" s="1" t="s">
        <v>41</v>
      </c>
      <c r="Z133" s="5" t="s">
        <v>62</v>
      </c>
    </row>
    <row r="134" spans="1:26" x14ac:dyDescent="0.3">
      <c r="A134" s="4">
        <v>132</v>
      </c>
      <c r="B134" s="1" t="s">
        <v>560</v>
      </c>
      <c r="C134" s="1" t="s">
        <v>561</v>
      </c>
      <c r="D134" s="1"/>
      <c r="E134" s="1"/>
      <c r="F134" s="1"/>
      <c r="G134" s="1"/>
      <c r="H134" s="6" t="str">
        <f>IFERROR(VLOOKUP(F134, Index!C:D, 2, FALSE), "")</f>
        <v/>
      </c>
      <c r="I134" s="2" t="s">
        <v>562</v>
      </c>
      <c r="J134" s="1"/>
      <c r="K134" s="1" t="s">
        <v>47</v>
      </c>
      <c r="L134" s="3">
        <v>45886</v>
      </c>
      <c r="M134" s="3">
        <v>45888</v>
      </c>
      <c r="N134" s="1">
        <f t="shared" si="3"/>
        <v>2</v>
      </c>
      <c r="O134" s="3"/>
      <c r="P134" s="1"/>
      <c r="Q134" s="1"/>
      <c r="R134" s="1"/>
      <c r="S134" s="1"/>
      <c r="T134" s="1"/>
      <c r="U134" s="1"/>
      <c r="V134" s="1"/>
      <c r="W134" s="1"/>
      <c r="X134" s="1"/>
      <c r="Y134" s="1" t="s">
        <v>392</v>
      </c>
      <c r="Z134" s="5"/>
    </row>
    <row r="135" spans="1:26" x14ac:dyDescent="0.3">
      <c r="A135" s="4">
        <v>133</v>
      </c>
      <c r="B135" s="1" t="s">
        <v>563</v>
      </c>
      <c r="C135" s="1" t="s">
        <v>540</v>
      </c>
      <c r="D135" s="1" t="s">
        <v>53</v>
      </c>
      <c r="E135" s="1" t="s">
        <v>30</v>
      </c>
      <c r="F135" s="1" t="s">
        <v>564</v>
      </c>
      <c r="G135" s="1">
        <v>5</v>
      </c>
      <c r="H135" s="6" t="str">
        <f>IFERROR(VLOOKUP(F135, Index!C:D, 2, FALSE), "")</f>
        <v>Cureghem</v>
      </c>
      <c r="I135" s="2" t="s">
        <v>565</v>
      </c>
      <c r="J135" s="1"/>
      <c r="K135" s="1" t="s">
        <v>35</v>
      </c>
      <c r="L135" s="3">
        <v>45882</v>
      </c>
      <c r="M135" s="3">
        <v>45895</v>
      </c>
      <c r="N135" s="1">
        <f t="shared" si="3"/>
        <v>13</v>
      </c>
      <c r="O135" s="3">
        <v>45895</v>
      </c>
      <c r="P135" s="1" t="s">
        <v>71</v>
      </c>
      <c r="Q135" s="1" t="s">
        <v>566</v>
      </c>
      <c r="R135" s="1" t="s">
        <v>37</v>
      </c>
      <c r="S135" s="1"/>
      <c r="T135" s="1"/>
      <c r="U135" s="1"/>
      <c r="V135" s="1" t="s">
        <v>40</v>
      </c>
      <c r="W135" s="1" t="s">
        <v>73</v>
      </c>
      <c r="X135" s="1" t="s">
        <v>481</v>
      </c>
      <c r="Y135" s="1" t="s">
        <v>41</v>
      </c>
      <c r="Z135" s="5" t="s">
        <v>42</v>
      </c>
    </row>
    <row r="136" spans="1:26" x14ac:dyDescent="0.3">
      <c r="A136" s="4">
        <v>134</v>
      </c>
      <c r="B136" s="1" t="s">
        <v>550</v>
      </c>
      <c r="C136" s="1" t="s">
        <v>567</v>
      </c>
      <c r="D136" s="1" t="s">
        <v>53</v>
      </c>
      <c r="E136" s="1" t="s">
        <v>30</v>
      </c>
      <c r="F136" s="1" t="s">
        <v>568</v>
      </c>
      <c r="G136" s="1"/>
      <c r="H136" s="6" t="str">
        <f>IFERROR(VLOOKUP(F136, Index!C:D, 2, FALSE), "")</f>
        <v>Neerpede</v>
      </c>
      <c r="I136" s="2"/>
      <c r="J136" s="1"/>
      <c r="K136" s="1" t="s">
        <v>275</v>
      </c>
      <c r="L136" s="3">
        <v>45884</v>
      </c>
      <c r="M136" s="3">
        <v>45895</v>
      </c>
      <c r="N136" s="1">
        <f t="shared" si="3"/>
        <v>11</v>
      </c>
      <c r="O136" s="3"/>
      <c r="P136" s="1" t="s">
        <v>58</v>
      </c>
      <c r="Q136" s="1"/>
      <c r="R136" s="1" t="s">
        <v>38</v>
      </c>
      <c r="S136" s="1" t="s">
        <v>569</v>
      </c>
      <c r="T136" s="1"/>
      <c r="U136" s="1"/>
      <c r="V136" s="1" t="s">
        <v>236</v>
      </c>
      <c r="W136" s="1"/>
      <c r="X136" s="1"/>
      <c r="Y136" s="1" t="s">
        <v>392</v>
      </c>
      <c r="Z136" s="5"/>
    </row>
    <row r="137" spans="1:26" x14ac:dyDescent="0.3">
      <c r="A137" s="4">
        <v>135</v>
      </c>
      <c r="B137" s="1" t="s">
        <v>570</v>
      </c>
      <c r="C137" s="1" t="s">
        <v>571</v>
      </c>
      <c r="D137" s="1" t="s">
        <v>53</v>
      </c>
      <c r="E137" s="1" t="s">
        <v>90</v>
      </c>
      <c r="F137" s="1" t="s">
        <v>150</v>
      </c>
      <c r="G137" s="1">
        <v>144</v>
      </c>
      <c r="H137" s="6" t="str">
        <f>IFERROR(VLOOKUP(F137, Index!C:D, 2, FALSE), "")</f>
        <v>Vaillance</v>
      </c>
      <c r="I137" s="2" t="s">
        <v>572</v>
      </c>
      <c r="J137" s="1"/>
      <c r="K137" s="1" t="s">
        <v>35</v>
      </c>
      <c r="L137" s="3">
        <v>45883</v>
      </c>
      <c r="M137" s="3">
        <v>45895</v>
      </c>
      <c r="N137" s="1">
        <f t="shared" si="3"/>
        <v>12</v>
      </c>
      <c r="O137" s="3">
        <v>45901</v>
      </c>
      <c r="P137" s="1" t="s">
        <v>36</v>
      </c>
      <c r="Q137" s="1"/>
      <c r="R137" s="1" t="s">
        <v>60</v>
      </c>
      <c r="S137" s="1" t="s">
        <v>573</v>
      </c>
      <c r="T137" s="1"/>
      <c r="U137" s="1"/>
      <c r="V137" s="1" t="s">
        <v>40</v>
      </c>
      <c r="W137" s="1"/>
      <c r="X137" s="1"/>
      <c r="Y137" s="1" t="s">
        <v>41</v>
      </c>
      <c r="Z137" s="5" t="s">
        <v>250</v>
      </c>
    </row>
    <row r="138" spans="1:26" x14ac:dyDescent="0.3">
      <c r="A138" s="4">
        <v>136</v>
      </c>
      <c r="B138" s="1" t="s">
        <v>574</v>
      </c>
      <c r="C138" s="1"/>
      <c r="D138" s="1" t="s">
        <v>53</v>
      </c>
      <c r="E138" s="1" t="s">
        <v>90</v>
      </c>
      <c r="F138" s="1" t="s">
        <v>575</v>
      </c>
      <c r="G138" s="1">
        <v>16</v>
      </c>
      <c r="H138" s="6" t="str">
        <f>IFERROR(VLOOKUP(F138, Index!C:D, 2, FALSE), "")</f>
        <v>Peterbos</v>
      </c>
      <c r="I138" s="2" t="s">
        <v>576</v>
      </c>
      <c r="J138" s="1"/>
      <c r="K138" s="1" t="s">
        <v>89</v>
      </c>
      <c r="L138" s="3">
        <v>45896</v>
      </c>
      <c r="M138" s="3">
        <v>45896</v>
      </c>
      <c r="N138" s="1">
        <f t="shared" si="3"/>
        <v>1</v>
      </c>
      <c r="O138" s="3">
        <v>45916</v>
      </c>
      <c r="P138" s="1" t="s">
        <v>58</v>
      </c>
      <c r="Q138" s="1"/>
      <c r="R138" s="1" t="s">
        <v>37</v>
      </c>
      <c r="S138" s="1"/>
      <c r="T138" s="1"/>
      <c r="U138" s="1"/>
      <c r="V138" s="1" t="s">
        <v>40</v>
      </c>
      <c r="W138" s="1"/>
      <c r="X138" s="1"/>
      <c r="Y138" s="1" t="s">
        <v>41</v>
      </c>
      <c r="Z138" s="5" t="s">
        <v>62</v>
      </c>
    </row>
    <row r="139" spans="1:26" x14ac:dyDescent="0.3">
      <c r="A139" s="4">
        <v>137</v>
      </c>
      <c r="B139" s="1" t="s">
        <v>201</v>
      </c>
      <c r="C139" s="1"/>
      <c r="D139" s="1"/>
      <c r="E139" s="1"/>
      <c r="F139" s="1"/>
      <c r="G139" s="1"/>
      <c r="H139" s="6" t="str">
        <f>IFERROR(VLOOKUP(F139, Index!C:D, 2, FALSE), "")</f>
        <v/>
      </c>
      <c r="I139" s="2" t="s">
        <v>577</v>
      </c>
      <c r="J139" s="1"/>
      <c r="K139" s="1" t="s">
        <v>89</v>
      </c>
      <c r="L139" s="3">
        <v>45896</v>
      </c>
      <c r="M139" s="3">
        <v>45896</v>
      </c>
      <c r="N139" s="1">
        <f t="shared" si="3"/>
        <v>1</v>
      </c>
      <c r="O139" s="3"/>
      <c r="P139" s="1"/>
      <c r="Q139" s="1"/>
      <c r="R139" s="1" t="s">
        <v>37</v>
      </c>
      <c r="S139" s="1"/>
      <c r="T139" s="1"/>
      <c r="U139" s="1"/>
      <c r="V139" s="1" t="s">
        <v>40</v>
      </c>
      <c r="W139" s="1"/>
      <c r="X139" s="1"/>
      <c r="Y139" s="1" t="s">
        <v>41</v>
      </c>
      <c r="Z139" s="5" t="s">
        <v>66</v>
      </c>
    </row>
    <row r="140" spans="1:26" x14ac:dyDescent="0.3">
      <c r="A140" s="4">
        <v>138</v>
      </c>
      <c r="B140" s="1" t="s">
        <v>578</v>
      </c>
      <c r="C140" s="1" t="s">
        <v>579</v>
      </c>
      <c r="D140" s="1" t="s">
        <v>29</v>
      </c>
      <c r="E140" s="1" t="s">
        <v>90</v>
      </c>
      <c r="F140" s="1" t="s">
        <v>580</v>
      </c>
      <c r="G140" s="1" t="s">
        <v>581</v>
      </c>
      <c r="H140" s="6" t="str">
        <f>IFERROR(VLOOKUP(F140, Index!C:D, 2, FALSE), "")</f>
        <v>Scheut</v>
      </c>
      <c r="I140" s="2" t="s">
        <v>582</v>
      </c>
      <c r="J140" s="1"/>
      <c r="K140" s="1" t="s">
        <v>35</v>
      </c>
      <c r="L140" s="3">
        <v>45902</v>
      </c>
      <c r="M140" s="3">
        <v>45904</v>
      </c>
      <c r="N140" s="1">
        <f t="shared" si="3"/>
        <v>2</v>
      </c>
      <c r="O140" s="3">
        <v>45904</v>
      </c>
      <c r="P140" s="1" t="s">
        <v>58</v>
      </c>
      <c r="Q140" s="1"/>
      <c r="R140" s="1" t="s">
        <v>38</v>
      </c>
      <c r="S140" s="1" t="s">
        <v>583</v>
      </c>
      <c r="T140" s="1"/>
      <c r="U140" s="1"/>
      <c r="V140" s="1" t="s">
        <v>40</v>
      </c>
      <c r="W140" s="1"/>
      <c r="X140" s="1"/>
      <c r="Y140" s="1" t="s">
        <v>41</v>
      </c>
      <c r="Z140" s="5" t="s">
        <v>159</v>
      </c>
    </row>
    <row r="141" spans="1:26" x14ac:dyDescent="0.3">
      <c r="A141" s="4">
        <v>139</v>
      </c>
      <c r="B141" s="1" t="s">
        <v>584</v>
      </c>
      <c r="C141" s="1" t="s">
        <v>585</v>
      </c>
      <c r="D141" s="1" t="s">
        <v>29</v>
      </c>
      <c r="E141" s="1" t="s">
        <v>90</v>
      </c>
      <c r="F141" s="1" t="s">
        <v>286</v>
      </c>
      <c r="G141" s="1"/>
      <c r="H141" s="6" t="str">
        <f>IFERROR(VLOOKUP(F141, Index!C:D, 2, FALSE), "")</f>
        <v>Vaillance</v>
      </c>
      <c r="I141" s="2" t="s">
        <v>586</v>
      </c>
      <c r="J141" s="1"/>
      <c r="K141" s="1" t="s">
        <v>89</v>
      </c>
      <c r="L141" s="3">
        <v>45909</v>
      </c>
      <c r="M141" s="3">
        <v>45909</v>
      </c>
      <c r="N141" s="1">
        <f t="shared" si="3"/>
        <v>1</v>
      </c>
      <c r="O141" s="3"/>
      <c r="P141" s="1" t="s">
        <v>36</v>
      </c>
      <c r="Q141" s="1"/>
      <c r="R141" s="1" t="s">
        <v>37</v>
      </c>
      <c r="S141" s="1"/>
      <c r="T141" s="1"/>
      <c r="U141" s="1"/>
      <c r="V141" s="1" t="s">
        <v>40</v>
      </c>
      <c r="W141" s="1"/>
      <c r="X141" s="1"/>
      <c r="Y141" s="1" t="s">
        <v>41</v>
      </c>
      <c r="Z141" s="5" t="s">
        <v>66</v>
      </c>
    </row>
    <row r="142" spans="1:26" x14ac:dyDescent="0.3">
      <c r="A142" s="4">
        <v>140</v>
      </c>
      <c r="B142" s="1" t="s">
        <v>587</v>
      </c>
      <c r="C142" s="1" t="s">
        <v>588</v>
      </c>
      <c r="D142" s="1" t="s">
        <v>53</v>
      </c>
      <c r="E142" s="1" t="s">
        <v>30</v>
      </c>
      <c r="F142" s="1" t="s">
        <v>86</v>
      </c>
      <c r="G142" s="1"/>
      <c r="H142" s="6" t="str">
        <f>IFERROR(VLOOKUP(F142, Index!C:D, 2, FALSE), "")</f>
        <v>SECTEUR</v>
      </c>
      <c r="I142" s="2" t="s">
        <v>589</v>
      </c>
      <c r="J142" s="1"/>
      <c r="K142" s="1" t="s">
        <v>89</v>
      </c>
      <c r="L142" s="3">
        <v>45910</v>
      </c>
      <c r="M142" s="3">
        <v>45910</v>
      </c>
      <c r="N142" s="1">
        <f t="shared" si="3"/>
        <v>1</v>
      </c>
      <c r="O142" s="3"/>
      <c r="P142" s="1" t="s">
        <v>36</v>
      </c>
      <c r="Q142" s="1"/>
      <c r="R142" s="1" t="s">
        <v>37</v>
      </c>
      <c r="S142" s="1"/>
      <c r="T142" s="1"/>
      <c r="U142" s="1"/>
      <c r="V142" s="1" t="s">
        <v>40</v>
      </c>
      <c r="W142" s="1"/>
      <c r="X142" s="1"/>
      <c r="Y142" s="1" t="s">
        <v>392</v>
      </c>
      <c r="Z142" s="5"/>
    </row>
    <row r="143" spans="1:26" x14ac:dyDescent="0.3">
      <c r="A143" s="4">
        <v>141</v>
      </c>
      <c r="B143" s="1" t="s">
        <v>590</v>
      </c>
      <c r="C143" s="1" t="s">
        <v>350</v>
      </c>
      <c r="D143" s="1" t="s">
        <v>53</v>
      </c>
      <c r="E143" s="1" t="s">
        <v>30</v>
      </c>
      <c r="F143" s="1" t="s">
        <v>591</v>
      </c>
      <c r="G143" s="1">
        <v>20</v>
      </c>
      <c r="H143" s="6" t="str">
        <f>IFERROR(VLOOKUP(F143, Index!C:D, 2, FALSE), "")</f>
        <v>Cureghem</v>
      </c>
      <c r="I143" s="2" t="s">
        <v>592</v>
      </c>
      <c r="J143" s="1"/>
      <c r="K143" s="1" t="s">
        <v>35</v>
      </c>
      <c r="L143" s="3">
        <v>45908</v>
      </c>
      <c r="M143" s="3">
        <v>45911</v>
      </c>
      <c r="N143" s="1">
        <f t="shared" si="3"/>
        <v>3</v>
      </c>
      <c r="O143" s="3"/>
      <c r="P143" s="1" t="s">
        <v>58</v>
      </c>
      <c r="Q143" s="1"/>
      <c r="R143" s="1" t="s">
        <v>37</v>
      </c>
      <c r="S143" s="1"/>
      <c r="T143" s="1"/>
      <c r="U143" s="1"/>
      <c r="V143" s="1" t="s">
        <v>40</v>
      </c>
      <c r="W143" s="1"/>
      <c r="X143" s="1"/>
      <c r="Y143" s="1" t="s">
        <v>41</v>
      </c>
      <c r="Z143" s="5" t="s">
        <v>66</v>
      </c>
    </row>
    <row r="144" spans="1:26" x14ac:dyDescent="0.3">
      <c r="A144" s="4">
        <v>142</v>
      </c>
      <c r="B144" s="1" t="s">
        <v>593</v>
      </c>
      <c r="C144" s="1"/>
      <c r="D144" s="1" t="s">
        <v>53</v>
      </c>
      <c r="E144" s="1" t="s">
        <v>30</v>
      </c>
      <c r="F144" s="1"/>
      <c r="G144" s="1"/>
      <c r="H144" s="6" t="str">
        <f>IFERROR(VLOOKUP(F144, Index!C:D, 2, FALSE), "")</f>
        <v/>
      </c>
      <c r="I144" s="2" t="s">
        <v>594</v>
      </c>
      <c r="J144" s="1"/>
      <c r="K144" s="1" t="s">
        <v>35</v>
      </c>
      <c r="L144" s="3">
        <v>45911</v>
      </c>
      <c r="M144" s="3">
        <v>45911</v>
      </c>
      <c r="N144" s="1">
        <f t="shared" si="3"/>
        <v>1</v>
      </c>
      <c r="O144" s="3">
        <v>45961</v>
      </c>
      <c r="P144" s="1" t="s">
        <v>36</v>
      </c>
      <c r="Q144" s="1"/>
      <c r="R144" s="1"/>
      <c r="S144" s="1"/>
      <c r="T144" s="1"/>
      <c r="U144" s="1"/>
      <c r="V144" s="1" t="s">
        <v>40</v>
      </c>
      <c r="W144" s="1"/>
      <c r="X144" s="1"/>
      <c r="Y144" s="1" t="s">
        <v>41</v>
      </c>
      <c r="Z144" s="5" t="s">
        <v>66</v>
      </c>
    </row>
    <row r="145" spans="1:26" x14ac:dyDescent="0.3">
      <c r="A145" s="4">
        <v>143</v>
      </c>
      <c r="B145" s="1" t="s">
        <v>595</v>
      </c>
      <c r="C145" s="1"/>
      <c r="D145" s="1" t="s">
        <v>53</v>
      </c>
      <c r="E145" s="1" t="s">
        <v>90</v>
      </c>
      <c r="F145" s="1" t="s">
        <v>596</v>
      </c>
      <c r="G145" s="1">
        <v>127</v>
      </c>
      <c r="H145" s="6" t="str">
        <f>IFERROR(VLOOKUP(F145, Index!C:D, 2, FALSE), "")</f>
        <v>Cureghem</v>
      </c>
      <c r="I145" s="2" t="s">
        <v>597</v>
      </c>
      <c r="J145" s="1"/>
      <c r="K145" s="1" t="s">
        <v>35</v>
      </c>
      <c r="L145" s="3">
        <v>45916</v>
      </c>
      <c r="M145" s="3">
        <v>45918</v>
      </c>
      <c r="N145" s="1">
        <f t="shared" si="3"/>
        <v>2</v>
      </c>
      <c r="O145" s="3">
        <v>45918</v>
      </c>
      <c r="P145" s="1" t="s">
        <v>36</v>
      </c>
      <c r="Q145" s="1"/>
      <c r="R145" s="1" t="s">
        <v>279</v>
      </c>
      <c r="S145" s="1"/>
      <c r="T145" s="1"/>
      <c r="U145" s="1"/>
      <c r="V145" s="1" t="s">
        <v>40</v>
      </c>
      <c r="W145" s="1" t="s">
        <v>73</v>
      </c>
      <c r="X145" s="1" t="s">
        <v>598</v>
      </c>
      <c r="Y145" s="1" t="s">
        <v>41</v>
      </c>
      <c r="Z145" s="5" t="s">
        <v>42</v>
      </c>
    </row>
    <row r="146" spans="1:26" x14ac:dyDescent="0.3">
      <c r="A146" s="4">
        <v>144</v>
      </c>
      <c r="B146" s="1" t="s">
        <v>599</v>
      </c>
      <c r="C146" s="1" t="s">
        <v>600</v>
      </c>
      <c r="D146" s="1" t="s">
        <v>53</v>
      </c>
      <c r="E146" s="1" t="s">
        <v>90</v>
      </c>
      <c r="F146" s="1" t="s">
        <v>266</v>
      </c>
      <c r="G146" s="1">
        <v>356</v>
      </c>
      <c r="H146" s="6" t="str">
        <f>IFERROR(VLOOKUP(F146, Index!C:D, 2, FALSE), "")</f>
        <v>Peterbos</v>
      </c>
      <c r="I146" s="2"/>
      <c r="J146" s="1"/>
      <c r="K146" s="1" t="s">
        <v>275</v>
      </c>
      <c r="L146" s="3">
        <v>45923</v>
      </c>
      <c r="M146" s="3">
        <v>45923</v>
      </c>
      <c r="N146" s="1">
        <f t="shared" si="3"/>
        <v>1</v>
      </c>
      <c r="O146" s="3"/>
      <c r="P146" s="1" t="s">
        <v>36</v>
      </c>
      <c r="Q146" s="1"/>
      <c r="R146" s="1" t="s">
        <v>132</v>
      </c>
      <c r="S146" s="1"/>
      <c r="T146" s="1"/>
      <c r="U146" s="1"/>
      <c r="V146" s="1" t="s">
        <v>40</v>
      </c>
      <c r="W146" s="1"/>
      <c r="X146" s="1"/>
      <c r="Y146" s="1" t="s">
        <v>392</v>
      </c>
      <c r="Z146" s="5"/>
    </row>
    <row r="147" spans="1:26" x14ac:dyDescent="0.3">
      <c r="A147" s="4">
        <v>145</v>
      </c>
      <c r="B147" s="1" t="s">
        <v>601</v>
      </c>
      <c r="C147" s="1" t="s">
        <v>602</v>
      </c>
      <c r="D147" s="1" t="s">
        <v>29</v>
      </c>
      <c r="E147" s="1" t="s">
        <v>30</v>
      </c>
      <c r="F147" s="1"/>
      <c r="G147" s="1"/>
      <c r="H147" s="6" t="str">
        <f>IFERROR(VLOOKUP(F147, Index!C:D, 2, FALSE), "")</f>
        <v/>
      </c>
      <c r="I147" s="2" t="s">
        <v>603</v>
      </c>
      <c r="J147" s="1"/>
      <c r="K147" s="1" t="s">
        <v>35</v>
      </c>
      <c r="L147" s="3">
        <v>45923</v>
      </c>
      <c r="M147" s="3">
        <v>45925</v>
      </c>
      <c r="N147" s="1">
        <f t="shared" si="3"/>
        <v>2</v>
      </c>
      <c r="O147" s="3">
        <v>45960</v>
      </c>
      <c r="P147" s="1" t="s">
        <v>36</v>
      </c>
      <c r="Q147" s="1"/>
      <c r="R147" s="1" t="s">
        <v>37</v>
      </c>
      <c r="S147" s="1"/>
      <c r="T147" s="1"/>
      <c r="U147" s="1"/>
      <c r="V147" s="1" t="s">
        <v>40</v>
      </c>
      <c r="W147" s="1" t="s">
        <v>132</v>
      </c>
      <c r="X147" s="1"/>
      <c r="Y147" s="1" t="s">
        <v>41</v>
      </c>
      <c r="Z147" s="5" t="s">
        <v>42</v>
      </c>
    </row>
    <row r="148" spans="1:26" x14ac:dyDescent="0.3">
      <c r="A148" s="4">
        <v>146</v>
      </c>
      <c r="B148" s="1" t="s">
        <v>604</v>
      </c>
      <c r="C148" s="1"/>
      <c r="D148" s="1" t="s">
        <v>53</v>
      </c>
      <c r="E148" s="1" t="s">
        <v>30</v>
      </c>
      <c r="F148" s="1" t="s">
        <v>605</v>
      </c>
      <c r="G148" s="1">
        <v>101</v>
      </c>
      <c r="H148" s="6" t="str">
        <f>IFERROR(VLOOKUP(F148, Index!C:D, 2, FALSE), "")</f>
        <v>Parc</v>
      </c>
      <c r="I148" s="2" t="s">
        <v>606</v>
      </c>
      <c r="J148" s="1"/>
      <c r="K148" s="1" t="s">
        <v>89</v>
      </c>
      <c r="L148" s="3">
        <v>45931</v>
      </c>
      <c r="M148" s="3">
        <v>45931</v>
      </c>
      <c r="N148" s="1">
        <f t="shared" si="3"/>
        <v>1</v>
      </c>
      <c r="O148" s="3">
        <v>45965</v>
      </c>
      <c r="P148" s="1" t="s">
        <v>117</v>
      </c>
      <c r="Q148" s="1"/>
      <c r="R148" s="1" t="s">
        <v>37</v>
      </c>
      <c r="S148" s="1"/>
      <c r="T148" s="1"/>
      <c r="U148" s="1"/>
      <c r="V148" s="1" t="s">
        <v>40</v>
      </c>
      <c r="W148" s="1"/>
      <c r="X148" s="1"/>
      <c r="Y148" s="1" t="s">
        <v>41</v>
      </c>
      <c r="Z148" s="5" t="s">
        <v>42</v>
      </c>
    </row>
    <row r="149" spans="1:26" x14ac:dyDescent="0.3">
      <c r="A149" s="4">
        <v>147</v>
      </c>
      <c r="B149" s="1" t="s">
        <v>607</v>
      </c>
      <c r="C149" s="1" t="s">
        <v>608</v>
      </c>
      <c r="D149" s="1" t="s">
        <v>53</v>
      </c>
      <c r="E149" s="1" t="s">
        <v>54</v>
      </c>
      <c r="F149" s="1" t="s">
        <v>86</v>
      </c>
      <c r="G149" s="1"/>
      <c r="H149" s="6" t="str">
        <f>IFERROR(VLOOKUP(F149, Index!C:D, 2, FALSE), "")</f>
        <v>SECTEUR</v>
      </c>
      <c r="I149" s="2" t="s">
        <v>609</v>
      </c>
      <c r="J149" s="1"/>
      <c r="K149" s="1" t="s">
        <v>89</v>
      </c>
      <c r="L149" s="3">
        <v>45931</v>
      </c>
      <c r="M149" s="3">
        <v>45931</v>
      </c>
      <c r="N149" s="1">
        <f t="shared" si="3"/>
        <v>1</v>
      </c>
      <c r="O149" s="3">
        <v>45965</v>
      </c>
      <c r="P149" s="1" t="s">
        <v>117</v>
      </c>
      <c r="Q149" s="1"/>
      <c r="R149" s="1" t="s">
        <v>37</v>
      </c>
      <c r="S149" s="1"/>
      <c r="T149" s="1"/>
      <c r="U149" s="1"/>
      <c r="V149" s="1" t="s">
        <v>40</v>
      </c>
      <c r="W149" s="1"/>
      <c r="X149" s="1"/>
      <c r="Y149" s="1" t="s">
        <v>41</v>
      </c>
      <c r="Z149" s="5" t="s">
        <v>42</v>
      </c>
    </row>
    <row r="150" spans="1:26" x14ac:dyDescent="0.3">
      <c r="A150" s="4">
        <v>148</v>
      </c>
      <c r="B150" s="1" t="s">
        <v>610</v>
      </c>
      <c r="C150" s="1"/>
      <c r="D150" s="1" t="s">
        <v>53</v>
      </c>
      <c r="E150" s="1" t="s">
        <v>90</v>
      </c>
      <c r="F150" s="1" t="s">
        <v>86</v>
      </c>
      <c r="G150" s="1"/>
      <c r="H150" s="6" t="str">
        <f>IFERROR(VLOOKUP(F150, Index!C:D, 2, FALSE), "")</f>
        <v>SECTEUR</v>
      </c>
      <c r="I150" s="2" t="s">
        <v>611</v>
      </c>
      <c r="J150" s="1"/>
      <c r="K150" s="1" t="s">
        <v>35</v>
      </c>
      <c r="L150" s="3">
        <v>45924</v>
      </c>
      <c r="M150" s="3">
        <v>45932</v>
      </c>
      <c r="N150" s="1">
        <f t="shared" si="3"/>
        <v>8</v>
      </c>
      <c r="O150" s="3">
        <v>45932</v>
      </c>
      <c r="P150" s="1" t="s">
        <v>36</v>
      </c>
      <c r="Q150" s="1"/>
      <c r="R150" s="1" t="s">
        <v>37</v>
      </c>
      <c r="S150" s="1"/>
      <c r="T150" s="1"/>
      <c r="U150" s="1"/>
      <c r="V150" s="1" t="s">
        <v>40</v>
      </c>
      <c r="W150" s="1" t="s">
        <v>132</v>
      </c>
      <c r="X150" s="1"/>
      <c r="Y150" s="1" t="s">
        <v>41</v>
      </c>
      <c r="Z150" s="5" t="s">
        <v>42</v>
      </c>
    </row>
    <row r="151" spans="1:26" x14ac:dyDescent="0.3">
      <c r="A151" s="4">
        <v>149</v>
      </c>
      <c r="B151" s="1" t="s">
        <v>612</v>
      </c>
      <c r="C151" s="1" t="s">
        <v>613</v>
      </c>
      <c r="D151" s="1" t="s">
        <v>53</v>
      </c>
      <c r="E151" s="1" t="s">
        <v>90</v>
      </c>
      <c r="F151" s="1" t="s">
        <v>351</v>
      </c>
      <c r="G151" s="1">
        <v>59</v>
      </c>
      <c r="H151" s="6" t="str">
        <f>IFERROR(VLOOKUP(F151, Index!C:D, 2, FALSE), "")</f>
        <v>Scheut</v>
      </c>
      <c r="I151" s="2" t="s">
        <v>614</v>
      </c>
      <c r="J151" s="1"/>
      <c r="K151" s="1" t="s">
        <v>35</v>
      </c>
      <c r="L151" s="3">
        <v>45929</v>
      </c>
      <c r="M151" s="3">
        <v>45932</v>
      </c>
      <c r="N151" s="1">
        <f t="shared" si="3"/>
        <v>3</v>
      </c>
      <c r="O151" s="3">
        <v>45940</v>
      </c>
      <c r="P151" s="1" t="s">
        <v>36</v>
      </c>
      <c r="Q151" s="1"/>
      <c r="R151" s="1" t="s">
        <v>37</v>
      </c>
      <c r="S151" s="1"/>
      <c r="T151" s="1"/>
      <c r="U151" s="1"/>
      <c r="V151" s="1" t="s">
        <v>40</v>
      </c>
      <c r="W151" s="1" t="s">
        <v>73</v>
      </c>
      <c r="X151" s="1" t="s">
        <v>615</v>
      </c>
      <c r="Y151" s="1" t="s">
        <v>41</v>
      </c>
      <c r="Z151" s="5" t="s">
        <v>42</v>
      </c>
    </row>
    <row r="152" spans="1:26" x14ac:dyDescent="0.3">
      <c r="A152" s="4">
        <v>150</v>
      </c>
      <c r="B152" s="1" t="s">
        <v>616</v>
      </c>
      <c r="C152" s="1" t="s">
        <v>617</v>
      </c>
      <c r="D152" s="1" t="s">
        <v>53</v>
      </c>
      <c r="E152" s="1" t="s">
        <v>54</v>
      </c>
      <c r="F152" s="1" t="s">
        <v>618</v>
      </c>
      <c r="G152" s="1">
        <v>11</v>
      </c>
      <c r="H152" s="6" t="str">
        <f>IFERROR(VLOOKUP(F152, Index!C:D, 2, FALSE), "")</f>
        <v>Parc</v>
      </c>
      <c r="I152" s="2" t="s">
        <v>619</v>
      </c>
      <c r="J152" s="1"/>
      <c r="K152" s="1" t="s">
        <v>35</v>
      </c>
      <c r="L152" s="3">
        <v>45940</v>
      </c>
      <c r="M152" s="3">
        <v>45940</v>
      </c>
      <c r="N152" s="1">
        <f t="shared" si="3"/>
        <v>1</v>
      </c>
      <c r="O152" s="3">
        <v>45960</v>
      </c>
      <c r="P152" s="1" t="s">
        <v>58</v>
      </c>
      <c r="Q152" s="1"/>
      <c r="R152" s="1" t="s">
        <v>37</v>
      </c>
      <c r="S152" s="1"/>
      <c r="T152" s="1"/>
      <c r="U152" s="1"/>
      <c r="V152" s="1" t="s">
        <v>40</v>
      </c>
      <c r="W152" s="1" t="s">
        <v>107</v>
      </c>
      <c r="X152" s="1" t="s">
        <v>620</v>
      </c>
      <c r="Y152" s="1" t="s">
        <v>41</v>
      </c>
      <c r="Z152" s="5" t="s">
        <v>42</v>
      </c>
    </row>
    <row r="153" spans="1:26" x14ac:dyDescent="0.3">
      <c r="A153" s="4">
        <v>151</v>
      </c>
      <c r="B153" s="1" t="s">
        <v>621</v>
      </c>
      <c r="C153" s="1"/>
      <c r="D153" s="1" t="s">
        <v>53</v>
      </c>
      <c r="E153" s="1"/>
      <c r="F153" s="1"/>
      <c r="G153" s="1"/>
      <c r="H153" s="6" t="str">
        <f>IFERROR(VLOOKUP(F153, Index!C:D, 2, FALSE), "")</f>
        <v/>
      </c>
      <c r="I153" s="2" t="s">
        <v>622</v>
      </c>
      <c r="J153" s="1"/>
      <c r="K153" s="1" t="s">
        <v>89</v>
      </c>
      <c r="L153" s="3">
        <v>45945</v>
      </c>
      <c r="M153" s="3">
        <v>45945</v>
      </c>
      <c r="N153" s="1">
        <f t="shared" si="3"/>
        <v>1</v>
      </c>
      <c r="O153" s="3">
        <v>45965</v>
      </c>
      <c r="P153" s="1" t="s">
        <v>117</v>
      </c>
      <c r="Q153" s="1"/>
      <c r="R153" s="1" t="s">
        <v>37</v>
      </c>
      <c r="S153" s="1"/>
      <c r="T153" s="1"/>
      <c r="U153" s="1"/>
      <c r="V153" s="1" t="s">
        <v>40</v>
      </c>
      <c r="W153" s="1"/>
      <c r="X153" s="1"/>
      <c r="Y153" s="1" t="s">
        <v>41</v>
      </c>
      <c r="Z153" s="5" t="s">
        <v>66</v>
      </c>
    </row>
    <row r="154" spans="1:26" x14ac:dyDescent="0.3">
      <c r="A154" s="4">
        <v>152</v>
      </c>
      <c r="B154" s="1" t="s">
        <v>623</v>
      </c>
      <c r="C154" s="1"/>
      <c r="D154" s="1" t="s">
        <v>53</v>
      </c>
      <c r="E154" s="1" t="s">
        <v>90</v>
      </c>
      <c r="F154" s="1"/>
      <c r="G154" s="1"/>
      <c r="H154" s="6" t="str">
        <f>IFERROR(VLOOKUP(F154, Index!C:D, 2, FALSE), "")</f>
        <v/>
      </c>
      <c r="I154" s="2"/>
      <c r="J154" s="1"/>
      <c r="K154" s="1" t="s">
        <v>47</v>
      </c>
      <c r="L154" s="3">
        <v>45929</v>
      </c>
      <c r="M154" s="3">
        <v>45929</v>
      </c>
      <c r="N154" s="1">
        <f t="shared" si="3"/>
        <v>1</v>
      </c>
      <c r="O154" s="3"/>
      <c r="P154" s="1" t="s">
        <v>58</v>
      </c>
      <c r="Q154" s="1"/>
      <c r="R154" s="1" t="s">
        <v>38</v>
      </c>
      <c r="S154" s="1" t="s">
        <v>623</v>
      </c>
      <c r="T154" s="1"/>
      <c r="U154" s="1"/>
      <c r="V154" s="1" t="s">
        <v>40</v>
      </c>
      <c r="W154" s="1"/>
      <c r="X154" s="1"/>
      <c r="Y154" s="1" t="s">
        <v>392</v>
      </c>
      <c r="Z154" s="5"/>
    </row>
    <row r="155" spans="1:26" x14ac:dyDescent="0.3">
      <c r="A155" s="4">
        <v>153</v>
      </c>
      <c r="B155" s="1" t="s">
        <v>624</v>
      </c>
      <c r="C155" s="1"/>
      <c r="D155" s="1" t="s">
        <v>53</v>
      </c>
      <c r="E155" s="1"/>
      <c r="F155" s="1" t="s">
        <v>625</v>
      </c>
      <c r="G155" s="1">
        <v>93</v>
      </c>
      <c r="H155" s="6" t="str">
        <f>IFERROR(VLOOKUP(F155, Index!C:D, 2, FALSE), "")</f>
        <v>Cureghem</v>
      </c>
      <c r="I155" s="2" t="s">
        <v>626</v>
      </c>
      <c r="J155" s="1"/>
      <c r="K155" s="1" t="s">
        <v>47</v>
      </c>
      <c r="L155" s="3">
        <v>45913</v>
      </c>
      <c r="M155" s="3">
        <v>45945</v>
      </c>
      <c r="N155" s="1">
        <f t="shared" si="3"/>
        <v>32</v>
      </c>
      <c r="O155" s="3"/>
      <c r="P155" s="1" t="s">
        <v>58</v>
      </c>
      <c r="Q155" s="1"/>
      <c r="R155" s="1" t="s">
        <v>38</v>
      </c>
      <c r="S155" s="1" t="s">
        <v>322</v>
      </c>
      <c r="T155" s="1" t="s">
        <v>38</v>
      </c>
      <c r="U155" s="1" t="s">
        <v>322</v>
      </c>
      <c r="V155" s="1" t="s">
        <v>40</v>
      </c>
      <c r="W155" s="1"/>
      <c r="X155" s="1"/>
      <c r="Y155" s="1" t="s">
        <v>392</v>
      </c>
      <c r="Z155" s="5"/>
    </row>
    <row r="156" spans="1:26" x14ac:dyDescent="0.3">
      <c r="A156" s="4">
        <v>154</v>
      </c>
      <c r="B156" s="1" t="s">
        <v>627</v>
      </c>
      <c r="C156" s="1" t="s">
        <v>628</v>
      </c>
      <c r="D156" s="1"/>
      <c r="E156" s="1" t="s">
        <v>90</v>
      </c>
      <c r="F156" s="1" t="s">
        <v>629</v>
      </c>
      <c r="G156" s="1">
        <v>52</v>
      </c>
      <c r="H156" s="6" t="str">
        <f>IFERROR(VLOOKUP(F156, Index!C:D, 2, FALSE), "")</f>
        <v>Parc</v>
      </c>
      <c r="I156" s="2" t="s">
        <v>630</v>
      </c>
      <c r="J156" s="1"/>
      <c r="K156" s="1" t="s">
        <v>89</v>
      </c>
      <c r="L156" s="3">
        <v>45951</v>
      </c>
      <c r="M156" s="3">
        <v>45951</v>
      </c>
      <c r="N156" s="1">
        <f t="shared" si="3"/>
        <v>1</v>
      </c>
      <c r="O156" s="3"/>
      <c r="P156" s="1" t="s">
        <v>36</v>
      </c>
      <c r="Q156" s="1"/>
      <c r="R156" s="1"/>
      <c r="S156" s="1" t="s">
        <v>631</v>
      </c>
      <c r="T156" s="1"/>
      <c r="U156" s="1"/>
      <c r="V156" s="1" t="s">
        <v>40</v>
      </c>
      <c r="W156" s="1"/>
      <c r="X156" s="1"/>
      <c r="Y156" s="1" t="s">
        <v>392</v>
      </c>
      <c r="Z156" s="5"/>
    </row>
    <row r="157" spans="1:26" x14ac:dyDescent="0.3">
      <c r="A157" s="4">
        <v>155</v>
      </c>
      <c r="B157" s="1" t="s">
        <v>632</v>
      </c>
      <c r="C157" s="1"/>
      <c r="D157" s="1" t="s">
        <v>53</v>
      </c>
      <c r="E157" s="1" t="s">
        <v>90</v>
      </c>
      <c r="F157" s="1"/>
      <c r="G157" s="1"/>
      <c r="H157" s="6" t="str">
        <f>IFERROR(VLOOKUP(F157, Index!C:D, 2, FALSE), "")</f>
        <v/>
      </c>
      <c r="I157" s="2" t="s">
        <v>633</v>
      </c>
      <c r="J157" s="1"/>
      <c r="K157" s="1" t="s">
        <v>47</v>
      </c>
      <c r="L157" s="3">
        <v>45924</v>
      </c>
      <c r="M157" s="3">
        <v>45924</v>
      </c>
      <c r="N157" s="1">
        <f t="shared" si="3"/>
        <v>1</v>
      </c>
      <c r="O157" s="3">
        <v>45930</v>
      </c>
      <c r="P157" s="1" t="s">
        <v>48</v>
      </c>
      <c r="Q157" s="1"/>
      <c r="R157" s="1" t="s">
        <v>37</v>
      </c>
      <c r="S157" s="1"/>
      <c r="T157" s="1"/>
      <c r="U157" s="1"/>
      <c r="V157" s="1" t="s">
        <v>40</v>
      </c>
      <c r="W157" s="1"/>
      <c r="X157" s="1"/>
      <c r="Y157" s="1" t="s">
        <v>41</v>
      </c>
      <c r="Z157" s="5" t="s">
        <v>108</v>
      </c>
    </row>
    <row r="158" spans="1:26" x14ac:dyDescent="0.3">
      <c r="A158" s="4">
        <v>156</v>
      </c>
      <c r="B158" s="1" t="s">
        <v>634</v>
      </c>
      <c r="C158" s="1" t="s">
        <v>635</v>
      </c>
      <c r="D158" s="1" t="s">
        <v>53</v>
      </c>
      <c r="E158" s="1"/>
      <c r="F158" s="1" t="s">
        <v>398</v>
      </c>
      <c r="G158" s="1">
        <v>51</v>
      </c>
      <c r="H158" s="6" t="str">
        <f>IFERROR(VLOOKUP(F158, Index!C:D, 2, FALSE), "")</f>
        <v>Cureghem</v>
      </c>
      <c r="I158" s="2" t="s">
        <v>636</v>
      </c>
      <c r="J158" s="78" t="s">
        <v>637</v>
      </c>
      <c r="K158" s="1" t="s">
        <v>47</v>
      </c>
      <c r="L158" s="3">
        <v>45950</v>
      </c>
      <c r="M158" s="3">
        <v>45952</v>
      </c>
      <c r="N158" s="1">
        <f t="shared" si="3"/>
        <v>2</v>
      </c>
      <c r="O158" s="3"/>
      <c r="P158" s="1" t="s">
        <v>71</v>
      </c>
      <c r="Q158" s="1" t="s">
        <v>365</v>
      </c>
      <c r="R158" s="1" t="s">
        <v>37</v>
      </c>
      <c r="S158" s="1"/>
      <c r="T158" s="1"/>
      <c r="U158" s="1"/>
      <c r="V158" s="1"/>
      <c r="W158" s="1" t="s">
        <v>279</v>
      </c>
      <c r="X158" s="1"/>
      <c r="Y158" s="1" t="s">
        <v>41</v>
      </c>
      <c r="Z158" s="5" t="s">
        <v>42</v>
      </c>
    </row>
    <row r="159" spans="1:26" x14ac:dyDescent="0.3">
      <c r="A159" s="4">
        <v>157</v>
      </c>
      <c r="B159" s="1" t="s">
        <v>638</v>
      </c>
      <c r="C159" s="1" t="s">
        <v>639</v>
      </c>
      <c r="D159" s="1" t="s">
        <v>53</v>
      </c>
      <c r="E159" s="1" t="s">
        <v>30</v>
      </c>
      <c r="F159" s="1" t="s">
        <v>640</v>
      </c>
      <c r="G159" s="1">
        <v>14</v>
      </c>
      <c r="H159" s="6" t="str">
        <f>IFERROR(VLOOKUP(F159, Index!C:D, 2, FALSE), "")</f>
        <v>Scheut</v>
      </c>
      <c r="I159" s="2"/>
      <c r="J159" s="78" t="s">
        <v>641</v>
      </c>
      <c r="K159" s="1" t="s">
        <v>35</v>
      </c>
      <c r="L159" s="3">
        <v>45945</v>
      </c>
      <c r="M159" s="3">
        <v>45961</v>
      </c>
      <c r="N159" s="1">
        <f t="shared" si="3"/>
        <v>16</v>
      </c>
      <c r="O159" s="3"/>
      <c r="P159" s="1" t="s">
        <v>58</v>
      </c>
      <c r="Q159" s="1"/>
      <c r="R159" s="1" t="s">
        <v>37</v>
      </c>
      <c r="S159" s="1"/>
      <c r="T159" s="1"/>
      <c r="U159" s="1"/>
      <c r="V159" s="1" t="s">
        <v>40</v>
      </c>
      <c r="W159" s="1"/>
      <c r="X159" s="1"/>
      <c r="Y159" s="1" t="s">
        <v>392</v>
      </c>
      <c r="Z159" s="5"/>
    </row>
    <row r="160" spans="1:26" x14ac:dyDescent="0.3">
      <c r="A160" s="4">
        <v>158</v>
      </c>
      <c r="B160" s="1" t="s">
        <v>642</v>
      </c>
      <c r="C160" s="1" t="s">
        <v>643</v>
      </c>
      <c r="D160" s="1" t="s">
        <v>53</v>
      </c>
      <c r="E160" s="1"/>
      <c r="F160" s="1" t="s">
        <v>644</v>
      </c>
      <c r="G160" s="1" t="s">
        <v>645</v>
      </c>
      <c r="H160" s="6" t="str">
        <f>IFERROR(VLOOKUP(F160, Index!C:D, 2, FALSE), "")</f>
        <v>Parc</v>
      </c>
      <c r="I160" s="2"/>
      <c r="J160" s="78" t="s">
        <v>646</v>
      </c>
      <c r="K160" s="1" t="s">
        <v>35</v>
      </c>
      <c r="L160" s="3">
        <v>45952</v>
      </c>
      <c r="M160" s="3">
        <v>45961</v>
      </c>
      <c r="N160" s="1">
        <f t="shared" si="3"/>
        <v>9</v>
      </c>
      <c r="O160" s="3"/>
      <c r="P160" s="1" t="s">
        <v>58</v>
      </c>
      <c r="Q160" s="1"/>
      <c r="R160" s="1" t="s">
        <v>37</v>
      </c>
      <c r="S160" s="1"/>
      <c r="T160" s="1"/>
      <c r="U160" s="1"/>
      <c r="V160" s="1" t="s">
        <v>40</v>
      </c>
      <c r="W160" s="1"/>
      <c r="X160" s="1"/>
      <c r="Y160" s="1" t="s">
        <v>392</v>
      </c>
      <c r="Z160" s="5"/>
    </row>
    <row r="161" spans="1:27" x14ac:dyDescent="0.3">
      <c r="A161" s="4">
        <v>159</v>
      </c>
      <c r="B161" s="1"/>
      <c r="C161" s="1"/>
      <c r="D161" s="1" t="s">
        <v>53</v>
      </c>
      <c r="E161" s="1" t="s">
        <v>30</v>
      </c>
      <c r="F161" s="1" t="s">
        <v>647</v>
      </c>
      <c r="G161" s="1">
        <v>120</v>
      </c>
      <c r="H161" s="6" t="str">
        <f>IFERROR(VLOOKUP(F161, Index!C:D, 2, FALSE), "")</f>
        <v>Scheut</v>
      </c>
      <c r="I161" s="2" t="s">
        <v>648</v>
      </c>
      <c r="J161" s="1"/>
      <c r="K161" s="1" t="s">
        <v>35</v>
      </c>
      <c r="L161" s="3"/>
      <c r="M161" s="3"/>
      <c r="N161" s="1" t="str">
        <f t="shared" si="3"/>
        <v/>
      </c>
      <c r="O161" s="3"/>
      <c r="P161" s="1" t="s">
        <v>58</v>
      </c>
      <c r="Q161" s="1"/>
      <c r="R161" s="1" t="s">
        <v>38</v>
      </c>
      <c r="S161" s="1" t="s">
        <v>649</v>
      </c>
      <c r="T161" s="1" t="s">
        <v>38</v>
      </c>
      <c r="U161" s="1" t="s">
        <v>650</v>
      </c>
      <c r="V161" s="1" t="s">
        <v>40</v>
      </c>
      <c r="W161" s="1"/>
      <c r="X161" s="1" t="s">
        <v>651</v>
      </c>
      <c r="Y161" s="1" t="s">
        <v>652</v>
      </c>
      <c r="Z161" s="5"/>
    </row>
    <row r="162" spans="1:27" x14ac:dyDescent="0.3">
      <c r="A162" s="4">
        <v>160</v>
      </c>
      <c r="B162" s="1" t="s">
        <v>653</v>
      </c>
      <c r="C162" s="1" t="s">
        <v>654</v>
      </c>
      <c r="D162" s="1" t="s">
        <v>29</v>
      </c>
      <c r="E162" s="1" t="s">
        <v>30</v>
      </c>
      <c r="F162" s="1" t="s">
        <v>655</v>
      </c>
      <c r="G162" s="1" t="s">
        <v>656</v>
      </c>
      <c r="H162" s="6" t="str">
        <f>IFERROR(VLOOKUP(F162, Index!C:D, 2, FALSE), "")</f>
        <v>La Roue</v>
      </c>
      <c r="I162" s="2" t="s">
        <v>657</v>
      </c>
      <c r="J162" s="1" t="s">
        <v>658</v>
      </c>
      <c r="K162" s="1" t="s">
        <v>35</v>
      </c>
      <c r="L162" s="3">
        <v>45945</v>
      </c>
      <c r="M162" s="3">
        <v>45961</v>
      </c>
      <c r="N162" s="1">
        <f t="shared" si="3"/>
        <v>16</v>
      </c>
      <c r="O162" s="3"/>
      <c r="P162" s="1" t="s">
        <v>36</v>
      </c>
      <c r="Q162" s="1"/>
      <c r="R162" s="1" t="s">
        <v>37</v>
      </c>
      <c r="S162" s="1"/>
      <c r="T162" s="1" t="s">
        <v>73</v>
      </c>
      <c r="U162" s="1" t="s">
        <v>491</v>
      </c>
      <c r="V162" s="1" t="s">
        <v>40</v>
      </c>
      <c r="W162" s="1"/>
      <c r="X162" s="1"/>
      <c r="Y162" s="1" t="s">
        <v>652</v>
      </c>
      <c r="Z162" s="5"/>
    </row>
    <row r="163" spans="1:27" x14ac:dyDescent="0.3">
      <c r="A163" s="4">
        <v>161</v>
      </c>
      <c r="B163" s="1" t="s">
        <v>659</v>
      </c>
      <c r="C163" s="1" t="s">
        <v>660</v>
      </c>
      <c r="D163" s="1" t="s">
        <v>53</v>
      </c>
      <c r="E163" s="1" t="s">
        <v>90</v>
      </c>
      <c r="F163" s="1" t="s">
        <v>193</v>
      </c>
      <c r="G163" s="1">
        <v>293</v>
      </c>
      <c r="H163" s="6" t="str">
        <f>IFERROR(VLOOKUP(F163, Index!C:D, 2, FALSE), "")</f>
        <v>Scheut</v>
      </c>
      <c r="I163" s="2" t="s">
        <v>661</v>
      </c>
      <c r="J163" s="78" t="s">
        <v>662</v>
      </c>
      <c r="K163" s="1" t="s">
        <v>47</v>
      </c>
      <c r="L163" s="3">
        <v>45936</v>
      </c>
      <c r="M163" s="3">
        <v>45945</v>
      </c>
      <c r="N163" s="1">
        <f t="shared" si="3"/>
        <v>9</v>
      </c>
      <c r="O163" s="3">
        <v>45950</v>
      </c>
      <c r="P163" s="1" t="s">
        <v>71</v>
      </c>
      <c r="Q163" s="1" t="s">
        <v>663</v>
      </c>
      <c r="R163" s="1" t="s">
        <v>37</v>
      </c>
      <c r="S163" s="1"/>
      <c r="T163" s="1" t="s">
        <v>73</v>
      </c>
      <c r="U163" s="1"/>
      <c r="V163" s="1"/>
      <c r="W163" s="1" t="s">
        <v>73</v>
      </c>
      <c r="X163" s="1"/>
      <c r="Y163" s="1" t="s">
        <v>41</v>
      </c>
      <c r="Z163" s="5" t="s">
        <v>42</v>
      </c>
    </row>
    <row r="164" spans="1:27" s="117" customFormat="1" x14ac:dyDescent="0.3">
      <c r="A164" s="109">
        <v>162</v>
      </c>
      <c r="B164" s="110" t="s">
        <v>664</v>
      </c>
      <c r="C164" s="110"/>
      <c r="D164" s="110" t="s">
        <v>29</v>
      </c>
      <c r="E164" s="110" t="s">
        <v>30</v>
      </c>
      <c r="F164" s="110" t="s">
        <v>86</v>
      </c>
      <c r="G164" s="110"/>
      <c r="H164" s="111" t="str">
        <f>IFERROR(VLOOKUP(F164, Index!C:D, 2, FALSE), "")</f>
        <v>SECTEUR</v>
      </c>
      <c r="I164" s="112" t="s">
        <v>665</v>
      </c>
      <c r="J164" s="113"/>
      <c r="K164" s="114"/>
      <c r="L164" s="115">
        <v>45965</v>
      </c>
      <c r="M164" s="115">
        <v>45965</v>
      </c>
      <c r="N164" s="110">
        <f t="shared" si="3"/>
        <v>1</v>
      </c>
      <c r="O164" s="115"/>
      <c r="P164" s="110" t="s">
        <v>117</v>
      </c>
      <c r="Q164" s="110"/>
      <c r="R164" s="110" t="s">
        <v>37</v>
      </c>
      <c r="S164" s="110"/>
      <c r="T164" s="110"/>
      <c r="U164" s="110"/>
      <c r="V164" s="110" t="s">
        <v>40</v>
      </c>
      <c r="W164" s="110"/>
      <c r="X164" s="110"/>
      <c r="Y164" s="110"/>
      <c r="Z164" s="116"/>
    </row>
    <row r="165" spans="1:27" x14ac:dyDescent="0.3">
      <c r="A165" s="4">
        <v>163</v>
      </c>
      <c r="B165" s="1" t="s">
        <v>666</v>
      </c>
      <c r="C165" s="1" t="s">
        <v>667</v>
      </c>
      <c r="D165" s="1"/>
      <c r="E165" s="1"/>
      <c r="F165" s="1"/>
      <c r="G165" s="1"/>
      <c r="H165" s="6" t="str">
        <f>IFERROR(VLOOKUP(F165, Index!C:D, 2, FALSE), "")</f>
        <v/>
      </c>
      <c r="I165" s="2"/>
      <c r="J165" s="78" t="s">
        <v>668</v>
      </c>
      <c r="K165" s="1" t="s">
        <v>89</v>
      </c>
      <c r="L165" s="3">
        <v>45965</v>
      </c>
      <c r="M165" s="3">
        <v>45965</v>
      </c>
      <c r="N165" s="1">
        <f t="shared" si="3"/>
        <v>1</v>
      </c>
      <c r="O165" s="3"/>
      <c r="P165" s="1" t="s">
        <v>117</v>
      </c>
      <c r="Q165" s="1"/>
      <c r="R165" s="1" t="s">
        <v>37</v>
      </c>
      <c r="S165" s="1"/>
      <c r="T165" s="1"/>
      <c r="U165" s="1"/>
      <c r="V165" s="1" t="s">
        <v>40</v>
      </c>
      <c r="W165" s="1"/>
      <c r="X165" s="1"/>
      <c r="Y165" s="1" t="s">
        <v>41</v>
      </c>
      <c r="Z165" s="5" t="s">
        <v>42</v>
      </c>
    </row>
    <row r="166" spans="1:27" x14ac:dyDescent="0.3">
      <c r="A166" s="4">
        <v>164</v>
      </c>
      <c r="B166" s="1" t="s">
        <v>669</v>
      </c>
      <c r="C166" s="1"/>
      <c r="D166" s="1" t="s">
        <v>29</v>
      </c>
      <c r="E166" s="1"/>
      <c r="F166" s="1" t="s">
        <v>249</v>
      </c>
      <c r="G166" s="1">
        <v>95</v>
      </c>
      <c r="H166" s="6" t="str">
        <f>IFERROR(VLOOKUP(F166, Index!C:D, 2, FALSE), "")</f>
        <v>Vaillance</v>
      </c>
      <c r="I166" s="2" t="s">
        <v>670</v>
      </c>
      <c r="J166" s="78" t="s">
        <v>671</v>
      </c>
      <c r="K166" s="1" t="s">
        <v>35</v>
      </c>
      <c r="L166" s="3">
        <v>45963</v>
      </c>
      <c r="M166" s="3">
        <v>45968</v>
      </c>
      <c r="N166" s="1">
        <f t="shared" si="3"/>
        <v>5</v>
      </c>
      <c r="O166" s="3"/>
      <c r="P166" s="1" t="s">
        <v>58</v>
      </c>
      <c r="Q166" s="1"/>
      <c r="R166" s="1" t="s">
        <v>38</v>
      </c>
      <c r="S166" s="1" t="s">
        <v>672</v>
      </c>
      <c r="T166" s="1"/>
      <c r="U166" s="1"/>
      <c r="V166" s="1" t="s">
        <v>40</v>
      </c>
      <c r="W166" s="1"/>
      <c r="X166" s="1"/>
      <c r="Y166" s="1" t="s">
        <v>392</v>
      </c>
      <c r="Z166" s="5"/>
    </row>
    <row r="167" spans="1:27" x14ac:dyDescent="0.3">
      <c r="A167" s="4">
        <v>165</v>
      </c>
      <c r="B167" s="1" t="s">
        <v>673</v>
      </c>
      <c r="C167" s="1" t="s">
        <v>674</v>
      </c>
      <c r="D167" s="1" t="s">
        <v>53</v>
      </c>
      <c r="E167" s="1" t="s">
        <v>30</v>
      </c>
      <c r="F167" s="1" t="s">
        <v>105</v>
      </c>
      <c r="G167" s="1">
        <v>38</v>
      </c>
      <c r="H167" s="6" t="str">
        <f>IFERROR(VLOOKUP(F167, Index!C:D, 2, FALSE), "")</f>
        <v>Scheut</v>
      </c>
      <c r="I167" s="2"/>
      <c r="J167" s="78" t="s">
        <v>675</v>
      </c>
      <c r="K167" s="1" t="s">
        <v>47</v>
      </c>
      <c r="L167" s="3">
        <v>45939</v>
      </c>
      <c r="M167" s="3">
        <v>45968</v>
      </c>
      <c r="N167" s="1">
        <f t="shared" si="3"/>
        <v>29</v>
      </c>
      <c r="O167" s="3">
        <v>45968</v>
      </c>
      <c r="P167" s="1" t="s">
        <v>71</v>
      </c>
      <c r="Q167" s="1" t="s">
        <v>676</v>
      </c>
      <c r="R167" s="1" t="s">
        <v>60</v>
      </c>
      <c r="S167" s="1"/>
      <c r="T167" s="1"/>
      <c r="U167" s="1"/>
      <c r="V167" s="1" t="s">
        <v>40</v>
      </c>
      <c r="W167" s="1" t="s">
        <v>38</v>
      </c>
      <c r="X167" s="1" t="s">
        <v>677</v>
      </c>
      <c r="Y167" s="1" t="s">
        <v>41</v>
      </c>
      <c r="Z167" s="5" t="s">
        <v>42</v>
      </c>
    </row>
    <row r="168" spans="1:27" x14ac:dyDescent="0.3">
      <c r="A168" s="4">
        <v>166</v>
      </c>
      <c r="B168" s="1" t="s">
        <v>678</v>
      </c>
      <c r="C168" s="1"/>
      <c r="D168" s="1" t="s">
        <v>53</v>
      </c>
      <c r="E168" s="1" t="s">
        <v>90</v>
      </c>
      <c r="F168" s="1" t="s">
        <v>383</v>
      </c>
      <c r="G168" s="1">
        <v>205</v>
      </c>
      <c r="H168" s="6" t="str">
        <f>IFERROR(VLOOKUP(F168, Index!C:D, 2, FALSE), "")</f>
        <v>Scheut</v>
      </c>
      <c r="I168" s="2" t="s">
        <v>442</v>
      </c>
      <c r="J168" s="1"/>
      <c r="K168" s="1" t="s">
        <v>47</v>
      </c>
      <c r="L168" s="3">
        <v>45959</v>
      </c>
      <c r="M168" s="3">
        <v>45959</v>
      </c>
      <c r="N168" s="1">
        <f t="shared" si="3"/>
        <v>1</v>
      </c>
      <c r="O168" s="3"/>
      <c r="P168" s="1" t="s">
        <v>48</v>
      </c>
      <c r="Q168" s="1"/>
      <c r="R168" s="1" t="s">
        <v>60</v>
      </c>
      <c r="S168" s="1"/>
      <c r="T168" s="1"/>
      <c r="U168" s="1"/>
      <c r="V168" s="1" t="s">
        <v>236</v>
      </c>
      <c r="W168" s="1"/>
      <c r="X168" s="1"/>
      <c r="Y168" s="1" t="s">
        <v>392</v>
      </c>
      <c r="Z168" s="5"/>
    </row>
    <row r="169" spans="1:27" x14ac:dyDescent="0.3">
      <c r="A169" s="4">
        <v>167</v>
      </c>
      <c r="B169" s="1" t="s">
        <v>679</v>
      </c>
      <c r="C169" s="1" t="s">
        <v>680</v>
      </c>
      <c r="D169" s="1" t="s">
        <v>29</v>
      </c>
      <c r="E169" s="1" t="s">
        <v>30</v>
      </c>
      <c r="F169" s="1"/>
      <c r="G169" s="1"/>
      <c r="H169" s="6" t="str">
        <f>IFERROR(VLOOKUP(F169, Index!C:D, 2, FALSE), "")</f>
        <v/>
      </c>
      <c r="I169" s="2"/>
      <c r="J169" s="78" t="s">
        <v>681</v>
      </c>
      <c r="K169" s="1" t="s">
        <v>35</v>
      </c>
      <c r="L169" s="3">
        <v>45972</v>
      </c>
      <c r="M169" s="3">
        <v>45974</v>
      </c>
      <c r="N169" s="1">
        <f t="shared" si="3"/>
        <v>2</v>
      </c>
      <c r="O169" s="3"/>
      <c r="P169" s="1" t="s">
        <v>58</v>
      </c>
      <c r="Q169" s="1" t="s">
        <v>59</v>
      </c>
      <c r="R169" s="1" t="s">
        <v>37</v>
      </c>
      <c r="S169" s="1"/>
      <c r="T169" s="1"/>
      <c r="U169" s="1"/>
      <c r="V169" s="1" t="s">
        <v>40</v>
      </c>
      <c r="W169" s="1"/>
      <c r="X169" s="1"/>
      <c r="Y169" s="1" t="s">
        <v>392</v>
      </c>
      <c r="Z169" s="5"/>
    </row>
    <row r="170" spans="1:27" x14ac:dyDescent="0.3">
      <c r="A170" s="4">
        <v>168</v>
      </c>
      <c r="B170" s="1" t="s">
        <v>682</v>
      </c>
      <c r="C170" s="1" t="s">
        <v>669</v>
      </c>
      <c r="D170" s="1" t="s">
        <v>29</v>
      </c>
      <c r="E170" s="1"/>
      <c r="F170" s="1" t="s">
        <v>249</v>
      </c>
      <c r="G170" s="1">
        <v>95</v>
      </c>
      <c r="H170" s="6" t="str">
        <f>IFERROR(VLOOKUP(F170, Index!C:D, 2, FALSE), "")</f>
        <v>Vaillance</v>
      </c>
      <c r="I170" s="2"/>
      <c r="J170" s="1"/>
      <c r="K170" s="1" t="s">
        <v>35</v>
      </c>
      <c r="L170" s="3">
        <v>45961</v>
      </c>
      <c r="M170" s="3">
        <v>45967</v>
      </c>
      <c r="N170" s="1">
        <f t="shared" si="3"/>
        <v>6</v>
      </c>
      <c r="O170" s="3"/>
      <c r="P170" s="1" t="s">
        <v>58</v>
      </c>
      <c r="Q170" s="1"/>
      <c r="R170" s="1" t="s">
        <v>38</v>
      </c>
      <c r="S170" s="1" t="s">
        <v>683</v>
      </c>
      <c r="T170" s="1"/>
      <c r="U170" s="1"/>
      <c r="V170" s="1" t="s">
        <v>40</v>
      </c>
      <c r="W170" s="1"/>
      <c r="X170" s="1"/>
      <c r="Y170" s="1" t="s">
        <v>652</v>
      </c>
      <c r="Z170" s="5" t="s">
        <v>62</v>
      </c>
    </row>
    <row r="171" spans="1:27" x14ac:dyDescent="0.3">
      <c r="A171" s="4">
        <v>169</v>
      </c>
      <c r="B171" s="1"/>
      <c r="C171" s="1" t="s">
        <v>684</v>
      </c>
      <c r="D171" s="1" t="s">
        <v>53</v>
      </c>
      <c r="E171" s="1" t="s">
        <v>30</v>
      </c>
      <c r="F171" s="1"/>
      <c r="G171" s="1"/>
      <c r="H171" s="6" t="str">
        <f>IFERROR(VLOOKUP(F171, Index!C:D, 2, FALSE), "")</f>
        <v/>
      </c>
      <c r="I171" s="2" t="s">
        <v>685</v>
      </c>
      <c r="J171" s="1"/>
      <c r="K171" s="1" t="s">
        <v>35</v>
      </c>
      <c r="L171" s="3">
        <v>45974</v>
      </c>
      <c r="M171" s="3">
        <v>45974</v>
      </c>
      <c r="N171" s="1">
        <f t="shared" si="3"/>
        <v>1</v>
      </c>
      <c r="O171" s="3"/>
      <c r="P171" s="1"/>
      <c r="Q171" s="1"/>
      <c r="R171" s="1"/>
      <c r="S171" s="1"/>
      <c r="T171" s="1"/>
      <c r="U171" s="1"/>
      <c r="V171" s="1"/>
      <c r="W171" s="1"/>
      <c r="X171" s="1"/>
      <c r="Y171" s="1" t="s">
        <v>41</v>
      </c>
      <c r="Z171" s="5" t="s">
        <v>42</v>
      </c>
      <c r="AA171" s="80" t="s">
        <v>686</v>
      </c>
    </row>
    <row r="172" spans="1:27" x14ac:dyDescent="0.3">
      <c r="A172" s="4">
        <v>170</v>
      </c>
      <c r="B172" s="1"/>
      <c r="C172" s="1" t="s">
        <v>687</v>
      </c>
      <c r="D172" s="1" t="s">
        <v>53</v>
      </c>
      <c r="E172" s="1" t="s">
        <v>30</v>
      </c>
      <c r="F172" s="1"/>
      <c r="G172" s="1"/>
      <c r="H172" s="6" t="str">
        <f>IFERROR(VLOOKUP(F172, Index!C:D, 2, FALSE), "")</f>
        <v/>
      </c>
      <c r="I172" s="2" t="s">
        <v>688</v>
      </c>
      <c r="J172" s="1"/>
      <c r="K172" s="1" t="s">
        <v>35</v>
      </c>
      <c r="L172" s="3">
        <v>45975</v>
      </c>
      <c r="M172" s="3">
        <v>45975</v>
      </c>
      <c r="N172" s="1">
        <f t="shared" si="3"/>
        <v>1</v>
      </c>
      <c r="O172" s="3"/>
      <c r="P172" s="1" t="s">
        <v>36</v>
      </c>
      <c r="Q172" s="1"/>
      <c r="R172" s="1" t="s">
        <v>37</v>
      </c>
      <c r="S172" s="1"/>
      <c r="T172" s="1"/>
      <c r="U172" s="1"/>
      <c r="V172" s="1" t="s">
        <v>40</v>
      </c>
      <c r="W172" s="1"/>
      <c r="X172" s="1"/>
      <c r="Y172" s="1" t="s">
        <v>392</v>
      </c>
      <c r="Z172" s="5"/>
      <c r="AA172" s="80" t="s">
        <v>689</v>
      </c>
    </row>
    <row r="173" spans="1:27" x14ac:dyDescent="0.3">
      <c r="A173" s="4"/>
      <c r="B173" s="1"/>
      <c r="C173" s="1"/>
      <c r="D173" s="1"/>
      <c r="E173" s="1"/>
      <c r="F173" s="1"/>
      <c r="G173" s="1"/>
      <c r="H173" s="6" t="str">
        <f>IFERROR(VLOOKUP(F173, Index!C:D, 2, FALSE), "")</f>
        <v/>
      </c>
      <c r="I173" s="2"/>
      <c r="J173" s="1"/>
      <c r="K173" s="1"/>
      <c r="L173" s="3"/>
      <c r="M173" s="3"/>
      <c r="N173" s="1" t="str">
        <f t="shared" si="3"/>
        <v/>
      </c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 t="s">
        <v>690</v>
      </c>
      <c r="Z173" s="5"/>
    </row>
    <row r="174" spans="1:27" x14ac:dyDescent="0.3">
      <c r="A174" s="4"/>
      <c r="B174" s="1"/>
      <c r="C174" s="1"/>
      <c r="D174" s="1"/>
      <c r="E174" s="1"/>
      <c r="F174" s="1"/>
      <c r="G174" s="1"/>
      <c r="H174" s="6" t="str">
        <f>IFERROR(VLOOKUP(F174, Index!C:D, 2, FALSE), "")</f>
        <v/>
      </c>
      <c r="I174" s="2"/>
      <c r="J174" s="1"/>
      <c r="K174" s="1"/>
      <c r="L174" s="3"/>
      <c r="M174" s="3"/>
      <c r="N174" s="1" t="str">
        <f t="shared" si="3"/>
        <v/>
      </c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 t="s">
        <v>690</v>
      </c>
      <c r="Z174" s="5"/>
    </row>
    <row r="175" spans="1:27" x14ac:dyDescent="0.3">
      <c r="A175" s="4"/>
      <c r="B175" s="1"/>
      <c r="C175" s="1"/>
      <c r="D175" s="1"/>
      <c r="E175" s="1"/>
      <c r="F175" s="1"/>
      <c r="G175" s="1"/>
      <c r="H175" s="6" t="str">
        <f>IFERROR(VLOOKUP(F175, Index!C:D, 2, FALSE), "")</f>
        <v/>
      </c>
      <c r="I175" s="2"/>
      <c r="J175" s="1"/>
      <c r="K175" s="1"/>
      <c r="L175" s="3"/>
      <c r="M175" s="3"/>
      <c r="N175" s="1" t="str">
        <f t="shared" si="3"/>
        <v/>
      </c>
      <c r="O175" s="3"/>
      <c r="P175" s="1"/>
      <c r="Q175" s="1"/>
      <c r="R175" s="1"/>
      <c r="S175" s="1"/>
      <c r="T175" s="1"/>
      <c r="U175" s="1"/>
      <c r="V175" s="1"/>
      <c r="W175" s="1"/>
      <c r="X175" s="1"/>
      <c r="Y175" s="1" t="s">
        <v>690</v>
      </c>
      <c r="Z175" s="5"/>
    </row>
    <row r="176" spans="1:27" x14ac:dyDescent="0.3">
      <c r="A176" s="4"/>
      <c r="B176" s="1"/>
      <c r="C176" s="1"/>
      <c r="D176" s="1"/>
      <c r="E176" s="1"/>
      <c r="F176" s="1"/>
      <c r="G176" s="1"/>
      <c r="H176" s="6" t="str">
        <f>IFERROR(VLOOKUP(F176, Index!C:D, 2, FALSE), "")</f>
        <v/>
      </c>
      <c r="I176" s="2"/>
      <c r="J176" s="1"/>
      <c r="K176" s="1"/>
      <c r="L176" s="3"/>
      <c r="M176" s="3"/>
      <c r="N176" s="1" t="str">
        <f t="shared" si="3"/>
        <v/>
      </c>
      <c r="O176" s="3"/>
      <c r="P176" s="1"/>
      <c r="Q176" s="1"/>
      <c r="R176" s="1"/>
      <c r="S176" s="1"/>
      <c r="T176" s="1"/>
      <c r="U176" s="1"/>
      <c r="V176" s="1"/>
      <c r="W176" s="1"/>
      <c r="X176" s="1"/>
      <c r="Y176" s="1" t="s">
        <v>690</v>
      </c>
      <c r="Z176" s="5"/>
    </row>
    <row r="177" spans="1:26" x14ac:dyDescent="0.3">
      <c r="A177" s="4"/>
      <c r="B177" s="1"/>
      <c r="C177" s="1"/>
      <c r="D177" s="1"/>
      <c r="E177" s="1"/>
      <c r="F177" s="1"/>
      <c r="G177" s="1"/>
      <c r="H177" s="6" t="str">
        <f>IFERROR(VLOOKUP(F177, Index!C:D, 2, FALSE), "")</f>
        <v/>
      </c>
      <c r="I177" s="2"/>
      <c r="J177" s="1"/>
      <c r="K177" s="1"/>
      <c r="L177" s="3"/>
      <c r="M177" s="3"/>
      <c r="N177" s="1" t="str">
        <f t="shared" si="3"/>
        <v/>
      </c>
      <c r="O177" s="3"/>
      <c r="P177" s="1"/>
      <c r="Q177" s="1"/>
      <c r="R177" s="1"/>
      <c r="S177" s="1"/>
      <c r="T177" s="1"/>
      <c r="U177" s="1"/>
      <c r="V177" s="1"/>
      <c r="W177" s="1"/>
      <c r="X177" s="1"/>
      <c r="Y177" s="1" t="s">
        <v>690</v>
      </c>
      <c r="Z177" s="5"/>
    </row>
    <row r="178" spans="1:26" x14ac:dyDescent="0.3">
      <c r="A178" s="4"/>
      <c r="B178" s="1"/>
      <c r="C178" s="1"/>
      <c r="D178" s="1"/>
      <c r="E178" s="1"/>
      <c r="F178" s="1"/>
      <c r="G178" s="1"/>
      <c r="H178" s="6" t="str">
        <f>IFERROR(VLOOKUP(F178, Index!C:D, 2, FALSE), "")</f>
        <v/>
      </c>
      <c r="I178" s="2"/>
      <c r="J178" s="1"/>
      <c r="K178" s="1"/>
      <c r="L178" s="3"/>
      <c r="M178" s="3"/>
      <c r="N178" s="1" t="str">
        <f t="shared" si="3"/>
        <v/>
      </c>
      <c r="O178" s="3"/>
      <c r="P178" s="1"/>
      <c r="Q178" s="1"/>
      <c r="R178" s="1"/>
      <c r="S178" s="1"/>
      <c r="T178" s="1"/>
      <c r="U178" s="1"/>
      <c r="V178" s="1"/>
      <c r="W178" s="1"/>
      <c r="X178" s="1"/>
      <c r="Y178" s="1" t="s">
        <v>690</v>
      </c>
      <c r="Z178" s="5"/>
    </row>
    <row r="179" spans="1:26" x14ac:dyDescent="0.3">
      <c r="A179" s="4"/>
      <c r="B179" s="1"/>
      <c r="C179" s="1"/>
      <c r="D179" s="1"/>
      <c r="E179" s="1"/>
      <c r="F179" s="1"/>
      <c r="G179" s="1"/>
      <c r="H179" s="6" t="str">
        <f>IFERROR(VLOOKUP(F179, Index!C:D, 2, FALSE), "")</f>
        <v/>
      </c>
      <c r="I179" s="2"/>
      <c r="J179" s="1"/>
      <c r="K179" s="1"/>
      <c r="L179" s="3"/>
      <c r="M179" s="3"/>
      <c r="N179" s="1" t="str">
        <f t="shared" si="3"/>
        <v/>
      </c>
      <c r="O179" s="3"/>
      <c r="P179" s="1"/>
      <c r="Q179" s="1"/>
      <c r="R179" s="1"/>
      <c r="S179" s="1"/>
      <c r="T179" s="1"/>
      <c r="U179" s="1"/>
      <c r="V179" s="1"/>
      <c r="W179" s="1"/>
      <c r="X179" s="1"/>
      <c r="Y179" s="1" t="s">
        <v>690</v>
      </c>
      <c r="Z179" s="5"/>
    </row>
    <row r="180" spans="1:26" x14ac:dyDescent="0.3">
      <c r="A180" s="4"/>
      <c r="B180" s="1"/>
      <c r="C180" s="1"/>
      <c r="D180" s="1"/>
      <c r="E180" s="1"/>
      <c r="F180" s="1"/>
      <c r="G180" s="1"/>
      <c r="H180" s="6" t="str">
        <f>IFERROR(VLOOKUP(F180, Index!C:D, 2, FALSE), "")</f>
        <v/>
      </c>
      <c r="I180" s="2"/>
      <c r="J180" s="1"/>
      <c r="K180" s="1"/>
      <c r="L180" s="3"/>
      <c r="M180" s="3"/>
      <c r="N180" s="1" t="str">
        <f t="shared" si="3"/>
        <v/>
      </c>
      <c r="O180" s="3"/>
      <c r="P180" s="1"/>
      <c r="Q180" s="1"/>
      <c r="R180" s="1"/>
      <c r="S180" s="1"/>
      <c r="T180" s="1"/>
      <c r="U180" s="1"/>
      <c r="V180" s="1"/>
      <c r="W180" s="1"/>
      <c r="X180" s="1"/>
      <c r="Y180" s="1" t="s">
        <v>690</v>
      </c>
      <c r="Z180" s="5"/>
    </row>
    <row r="181" spans="1:26" x14ac:dyDescent="0.3">
      <c r="A181" s="4"/>
      <c r="B181" s="1"/>
      <c r="C181" s="1"/>
      <c r="D181" s="1"/>
      <c r="E181" s="1"/>
      <c r="F181" s="1"/>
      <c r="G181" s="1"/>
      <c r="H181" s="6" t="str">
        <f>IFERROR(VLOOKUP(F181, Index!C:D, 2, FALSE), "")</f>
        <v/>
      </c>
      <c r="I181" s="2"/>
      <c r="J181" s="1"/>
      <c r="K181" s="1"/>
      <c r="L181" s="3"/>
      <c r="M181" s="3"/>
      <c r="N181" s="1" t="str">
        <f t="shared" si="3"/>
        <v/>
      </c>
      <c r="O181" s="3"/>
      <c r="P181" s="1"/>
      <c r="Q181" s="1"/>
      <c r="R181" s="1"/>
      <c r="S181" s="1"/>
      <c r="T181" s="1"/>
      <c r="U181" s="1"/>
      <c r="V181" s="1"/>
      <c r="W181" s="1"/>
      <c r="X181" s="1"/>
      <c r="Y181" s="1" t="s">
        <v>690</v>
      </c>
      <c r="Z181" s="5"/>
    </row>
    <row r="182" spans="1:26" x14ac:dyDescent="0.3">
      <c r="A182" s="4"/>
      <c r="B182" s="1"/>
      <c r="C182" s="1"/>
      <c r="D182" s="1"/>
      <c r="E182" s="1"/>
      <c r="F182" s="1"/>
      <c r="G182" s="1"/>
      <c r="H182" s="6" t="str">
        <f>IFERROR(VLOOKUP(F182, Index!C:D, 2, FALSE), "")</f>
        <v/>
      </c>
      <c r="I182" s="2"/>
      <c r="J182" s="1"/>
      <c r="K182" s="1"/>
      <c r="L182" s="3"/>
      <c r="M182" s="3"/>
      <c r="N182" s="1" t="str">
        <f t="shared" si="3"/>
        <v/>
      </c>
      <c r="O182" s="3"/>
      <c r="P182" s="1"/>
      <c r="Q182" s="1"/>
      <c r="R182" s="1"/>
      <c r="S182" s="1"/>
      <c r="T182" s="1"/>
      <c r="U182" s="1"/>
      <c r="V182" s="1"/>
      <c r="W182" s="1"/>
      <c r="X182" s="1"/>
      <c r="Y182" s="1" t="s">
        <v>690</v>
      </c>
      <c r="Z182" s="5"/>
    </row>
    <row r="183" spans="1:26" x14ac:dyDescent="0.3">
      <c r="A183" s="4"/>
      <c r="B183" s="1"/>
      <c r="C183" s="1"/>
      <c r="D183" s="1"/>
      <c r="E183" s="1"/>
      <c r="F183" s="1"/>
      <c r="G183" s="1"/>
      <c r="H183" s="6" t="str">
        <f>IFERROR(VLOOKUP(F183, Index!C:D, 2, FALSE), "")</f>
        <v/>
      </c>
      <c r="I183" s="2"/>
      <c r="J183" s="1"/>
      <c r="K183" s="1"/>
      <c r="L183" s="3"/>
      <c r="M183" s="3"/>
      <c r="N183" s="1" t="str">
        <f t="shared" si="3"/>
        <v/>
      </c>
      <c r="O183" s="3"/>
      <c r="P183" s="1"/>
      <c r="Q183" s="1"/>
      <c r="R183" s="1"/>
      <c r="S183" s="1"/>
      <c r="T183" s="1"/>
      <c r="U183" s="1"/>
      <c r="V183" s="1"/>
      <c r="W183" s="1"/>
      <c r="X183" s="1"/>
      <c r="Y183" s="1" t="s">
        <v>690</v>
      </c>
      <c r="Z183" s="5"/>
    </row>
    <row r="184" spans="1:26" x14ac:dyDescent="0.3">
      <c r="A184" s="4"/>
      <c r="B184" s="1"/>
      <c r="C184" s="1"/>
      <c r="D184" s="1"/>
      <c r="E184" s="1"/>
      <c r="F184" s="1"/>
      <c r="G184" s="1"/>
      <c r="H184" s="6" t="str">
        <f>IFERROR(VLOOKUP(F184, Index!C:D, 2, FALSE), "")</f>
        <v/>
      </c>
      <c r="I184" s="2"/>
      <c r="J184" s="1"/>
      <c r="K184" s="1"/>
      <c r="L184" s="3"/>
      <c r="M184" s="3"/>
      <c r="N184" s="1" t="str">
        <f t="shared" si="3"/>
        <v/>
      </c>
      <c r="O184" s="3"/>
      <c r="P184" s="1"/>
      <c r="Q184" s="1"/>
      <c r="R184" s="1"/>
      <c r="S184" s="1"/>
      <c r="T184" s="1"/>
      <c r="U184" s="1"/>
      <c r="V184" s="1"/>
      <c r="W184" s="1"/>
      <c r="X184" s="1"/>
      <c r="Y184" s="1" t="s">
        <v>690</v>
      </c>
      <c r="Z184" s="5"/>
    </row>
    <row r="185" spans="1:26" x14ac:dyDescent="0.3">
      <c r="A185" s="4"/>
      <c r="B185" s="1"/>
      <c r="C185" s="1"/>
      <c r="D185" s="1"/>
      <c r="E185" s="1"/>
      <c r="F185" s="1"/>
      <c r="G185" s="1"/>
      <c r="H185" s="6" t="str">
        <f>IFERROR(VLOOKUP(F185, Index!C:D, 2, FALSE), "")</f>
        <v/>
      </c>
      <c r="I185" s="2"/>
      <c r="J185" s="1"/>
      <c r="K185" s="1"/>
      <c r="L185" s="3"/>
      <c r="M185" s="3"/>
      <c r="N185" s="1" t="str">
        <f t="shared" si="3"/>
        <v/>
      </c>
      <c r="O185" s="3"/>
      <c r="P185" s="1"/>
      <c r="Q185" s="1"/>
      <c r="R185" s="1"/>
      <c r="S185" s="1"/>
      <c r="T185" s="1"/>
      <c r="U185" s="1"/>
      <c r="V185" s="1"/>
      <c r="W185" s="1"/>
      <c r="X185" s="1"/>
      <c r="Y185" s="1" t="s">
        <v>690</v>
      </c>
      <c r="Z185" s="5"/>
    </row>
    <row r="186" spans="1:26" x14ac:dyDescent="0.3">
      <c r="A186" s="4"/>
      <c r="B186" s="1"/>
      <c r="C186" s="1"/>
      <c r="D186" s="1"/>
      <c r="E186" s="1"/>
      <c r="F186" s="1"/>
      <c r="G186" s="1"/>
      <c r="H186" s="6" t="str">
        <f>IFERROR(VLOOKUP(F186, Index!C:D, 2, FALSE), "")</f>
        <v/>
      </c>
      <c r="I186" s="2"/>
      <c r="J186" s="1"/>
      <c r="K186" s="1"/>
      <c r="L186" s="3"/>
      <c r="M186" s="3"/>
      <c r="N186" s="1" t="str">
        <f t="shared" si="3"/>
        <v/>
      </c>
      <c r="O186" s="3"/>
      <c r="P186" s="1"/>
      <c r="Q186" s="1"/>
      <c r="R186" s="1"/>
      <c r="S186" s="1"/>
      <c r="T186" s="1"/>
      <c r="U186" s="1"/>
      <c r="V186" s="1"/>
      <c r="W186" s="1"/>
      <c r="X186" s="1"/>
      <c r="Y186" s="1" t="s">
        <v>690</v>
      </c>
      <c r="Z186" s="5"/>
    </row>
    <row r="187" spans="1:26" x14ac:dyDescent="0.3">
      <c r="A187" s="4"/>
      <c r="B187" s="1"/>
      <c r="C187" s="1"/>
      <c r="D187" s="1"/>
      <c r="E187" s="1"/>
      <c r="F187" s="1"/>
      <c r="G187" s="1"/>
      <c r="H187" s="6" t="str">
        <f>IFERROR(VLOOKUP(F187, Index!C:D, 2, FALSE), "")</f>
        <v/>
      </c>
      <c r="I187" s="2"/>
      <c r="J187" s="1"/>
      <c r="K187" s="1"/>
      <c r="L187" s="3"/>
      <c r="M187" s="3"/>
      <c r="N187" s="1" t="str">
        <f t="shared" si="3"/>
        <v/>
      </c>
      <c r="O187" s="3"/>
      <c r="P187" s="1"/>
      <c r="Q187" s="1"/>
      <c r="R187" s="1"/>
      <c r="S187" s="1"/>
      <c r="T187" s="1"/>
      <c r="U187" s="1"/>
      <c r="V187" s="1"/>
      <c r="W187" s="1"/>
      <c r="X187" s="1"/>
      <c r="Y187" s="1" t="s">
        <v>690</v>
      </c>
      <c r="Z187" s="5"/>
    </row>
    <row r="188" spans="1:26" x14ac:dyDescent="0.3">
      <c r="A188" s="4"/>
      <c r="B188" s="1"/>
      <c r="C188" s="1"/>
      <c r="D188" s="1"/>
      <c r="E188" s="1"/>
      <c r="F188" s="1"/>
      <c r="G188" s="1"/>
      <c r="H188" s="6" t="str">
        <f>IFERROR(VLOOKUP(F188, Index!C:D, 2, FALSE), "")</f>
        <v/>
      </c>
      <c r="I188" s="2"/>
      <c r="J188" s="1"/>
      <c r="K188" s="1"/>
      <c r="L188" s="3"/>
      <c r="M188" s="3"/>
      <c r="N188" s="1" t="str">
        <f t="shared" si="3"/>
        <v/>
      </c>
      <c r="O188" s="3"/>
      <c r="P188" s="1"/>
      <c r="Q188" s="1"/>
      <c r="R188" s="1"/>
      <c r="S188" s="1"/>
      <c r="T188" s="1"/>
      <c r="U188" s="1"/>
      <c r="V188" s="1"/>
      <c r="W188" s="1"/>
      <c r="X188" s="1"/>
      <c r="Y188" s="1" t="s">
        <v>690</v>
      </c>
      <c r="Z188" s="5"/>
    </row>
    <row r="189" spans="1:26" x14ac:dyDescent="0.3">
      <c r="A189" s="4"/>
      <c r="B189" s="1"/>
      <c r="C189" s="1"/>
      <c r="D189" s="1"/>
      <c r="E189" s="1"/>
      <c r="F189" s="1"/>
      <c r="G189" s="1"/>
      <c r="H189" s="6" t="str">
        <f>IFERROR(VLOOKUP(F189, Index!C:D, 2, FALSE), "")</f>
        <v/>
      </c>
      <c r="I189" s="2"/>
      <c r="J189" s="1"/>
      <c r="K189" s="1"/>
      <c r="L189" s="3"/>
      <c r="M189" s="3"/>
      <c r="N189" s="1" t="str">
        <f t="shared" si="3"/>
        <v/>
      </c>
      <c r="O189" s="3"/>
      <c r="P189" s="1"/>
      <c r="Q189" s="1"/>
      <c r="R189" s="1"/>
      <c r="S189" s="1"/>
      <c r="T189" s="1"/>
      <c r="U189" s="1"/>
      <c r="V189" s="1"/>
      <c r="W189" s="1"/>
      <c r="X189" s="1"/>
      <c r="Y189" s="1" t="s">
        <v>690</v>
      </c>
      <c r="Z189" s="5"/>
    </row>
    <row r="190" spans="1:26" x14ac:dyDescent="0.3">
      <c r="A190" s="4"/>
      <c r="B190" s="1"/>
      <c r="C190" s="1"/>
      <c r="D190" s="1"/>
      <c r="E190" s="1"/>
      <c r="F190" s="1"/>
      <c r="G190" s="1"/>
      <c r="H190" s="6" t="str">
        <f>IFERROR(VLOOKUP(F190, Index!C:D, 2, FALSE), "")</f>
        <v/>
      </c>
      <c r="I190" s="2"/>
      <c r="J190" s="1"/>
      <c r="K190" s="1"/>
      <c r="L190" s="3"/>
      <c r="M190" s="3"/>
      <c r="N190" s="1" t="str">
        <f t="shared" si="3"/>
        <v/>
      </c>
      <c r="O190" s="3"/>
      <c r="P190" s="1"/>
      <c r="Q190" s="1"/>
      <c r="R190" s="1"/>
      <c r="S190" s="1"/>
      <c r="T190" s="1"/>
      <c r="U190" s="1"/>
      <c r="V190" s="1"/>
      <c r="W190" s="1"/>
      <c r="X190" s="1"/>
      <c r="Y190" s="1" t="s">
        <v>690</v>
      </c>
      <c r="Z190" s="5"/>
    </row>
    <row r="191" spans="1:26" x14ac:dyDescent="0.3">
      <c r="A191" s="4"/>
      <c r="B191" s="1"/>
      <c r="C191" s="1"/>
      <c r="D191" s="1"/>
      <c r="E191" s="1"/>
      <c r="F191" s="1"/>
      <c r="G191" s="1"/>
      <c r="H191" s="6" t="str">
        <f>IFERROR(VLOOKUP(F191, Index!C:D, 2, FALSE), "")</f>
        <v/>
      </c>
      <c r="I191" s="2"/>
      <c r="J191" s="1"/>
      <c r="K191" s="1"/>
      <c r="L191" s="3"/>
      <c r="M191" s="3"/>
      <c r="N191" s="1" t="str">
        <f t="shared" si="3"/>
        <v/>
      </c>
      <c r="O191" s="3"/>
      <c r="P191" s="1"/>
      <c r="Q191" s="1"/>
      <c r="R191" s="1"/>
      <c r="S191" s="1"/>
      <c r="T191" s="1"/>
      <c r="U191" s="1"/>
      <c r="V191" s="1"/>
      <c r="W191" s="1"/>
      <c r="X191" s="1"/>
      <c r="Y191" s="1" t="s">
        <v>690</v>
      </c>
      <c r="Z191" s="5"/>
    </row>
    <row r="192" spans="1:26" x14ac:dyDescent="0.3">
      <c r="A192" s="4"/>
      <c r="B192" s="1"/>
      <c r="C192" s="1"/>
      <c r="D192" s="1"/>
      <c r="E192" s="1"/>
      <c r="F192" s="1"/>
      <c r="G192" s="1"/>
      <c r="H192" s="6" t="str">
        <f>IFERROR(VLOOKUP(F192, Index!C:D, 2, FALSE), "")</f>
        <v/>
      </c>
      <c r="I192" s="2"/>
      <c r="J192" s="1"/>
      <c r="K192" s="1"/>
      <c r="L192" s="3"/>
      <c r="M192" s="3"/>
      <c r="N192" s="1" t="str">
        <f t="shared" ref="N192:N255" si="4">IF(OR(L192="", M192=""), "", IF(L192=M192, 1, M192 - L192))</f>
        <v/>
      </c>
      <c r="O192" s="3"/>
      <c r="P192" s="1"/>
      <c r="Q192" s="1"/>
      <c r="R192" s="1"/>
      <c r="S192" s="1"/>
      <c r="T192" s="1"/>
      <c r="U192" s="1"/>
      <c r="V192" s="1"/>
      <c r="W192" s="1"/>
      <c r="X192" s="1"/>
      <c r="Y192" s="1" t="s">
        <v>690</v>
      </c>
      <c r="Z192" s="5"/>
    </row>
    <row r="193" spans="1:26" x14ac:dyDescent="0.3">
      <c r="A193" s="4"/>
      <c r="B193" s="1"/>
      <c r="C193" s="1"/>
      <c r="D193" s="1"/>
      <c r="E193" s="1"/>
      <c r="F193" s="1"/>
      <c r="G193" s="1"/>
      <c r="H193" s="6" t="str">
        <f>IFERROR(VLOOKUP(F193, Index!C:D, 2, FALSE), "")</f>
        <v/>
      </c>
      <c r="I193" s="2"/>
      <c r="J193" s="1"/>
      <c r="K193" s="1"/>
      <c r="L193" s="3"/>
      <c r="M193" s="3"/>
      <c r="N193" s="1" t="str">
        <f t="shared" si="4"/>
        <v/>
      </c>
      <c r="O193" s="3"/>
      <c r="P193" s="1"/>
      <c r="Q193" s="1"/>
      <c r="R193" s="1"/>
      <c r="S193" s="1"/>
      <c r="T193" s="1"/>
      <c r="U193" s="1"/>
      <c r="V193" s="1"/>
      <c r="W193" s="1"/>
      <c r="X193" s="1"/>
      <c r="Y193" s="1" t="s">
        <v>690</v>
      </c>
      <c r="Z193" s="5"/>
    </row>
    <row r="194" spans="1:26" x14ac:dyDescent="0.3">
      <c r="A194" s="4"/>
      <c r="B194" s="1"/>
      <c r="C194" s="1"/>
      <c r="D194" s="1"/>
      <c r="E194" s="1"/>
      <c r="F194" s="1"/>
      <c r="G194" s="1"/>
      <c r="H194" s="6" t="str">
        <f>IFERROR(VLOOKUP(F194, Index!C:D, 2, FALSE), "")</f>
        <v/>
      </c>
      <c r="I194" s="2"/>
      <c r="J194" s="1"/>
      <c r="K194" s="1"/>
      <c r="L194" s="3"/>
      <c r="M194" s="3"/>
      <c r="N194" s="1" t="str">
        <f t="shared" si="4"/>
        <v/>
      </c>
      <c r="O194" s="3"/>
      <c r="P194" s="1"/>
      <c r="Q194" s="1"/>
      <c r="R194" s="1"/>
      <c r="S194" s="1"/>
      <c r="T194" s="1"/>
      <c r="U194" s="1"/>
      <c r="V194" s="1"/>
      <c r="W194" s="1"/>
      <c r="X194" s="1"/>
      <c r="Y194" s="1" t="s">
        <v>690</v>
      </c>
      <c r="Z194" s="5"/>
    </row>
    <row r="195" spans="1:26" x14ac:dyDescent="0.3">
      <c r="A195" s="4"/>
      <c r="B195" s="1"/>
      <c r="C195" s="1"/>
      <c r="D195" s="1"/>
      <c r="E195" s="1"/>
      <c r="F195" s="1"/>
      <c r="G195" s="1"/>
      <c r="H195" s="6" t="str">
        <f>IFERROR(VLOOKUP(F195, Index!C:D, 2, FALSE), "")</f>
        <v/>
      </c>
      <c r="I195" s="2"/>
      <c r="J195" s="1"/>
      <c r="K195" s="1"/>
      <c r="L195" s="3"/>
      <c r="M195" s="3"/>
      <c r="N195" s="1" t="str">
        <f t="shared" si="4"/>
        <v/>
      </c>
      <c r="O195" s="3"/>
      <c r="P195" s="1"/>
      <c r="Q195" s="1"/>
      <c r="R195" s="1"/>
      <c r="S195" s="1"/>
      <c r="T195" s="1"/>
      <c r="U195" s="1"/>
      <c r="V195" s="1"/>
      <c r="W195" s="1"/>
      <c r="X195" s="1"/>
      <c r="Y195" s="1" t="s">
        <v>690</v>
      </c>
      <c r="Z195" s="5"/>
    </row>
    <row r="196" spans="1:26" x14ac:dyDescent="0.3">
      <c r="A196" s="4"/>
      <c r="B196" s="1"/>
      <c r="C196" s="1"/>
      <c r="D196" s="1"/>
      <c r="E196" s="1"/>
      <c r="F196" s="1"/>
      <c r="G196" s="1"/>
      <c r="H196" s="6" t="str">
        <f>IFERROR(VLOOKUP(F196, Index!C:D, 2, FALSE), "")</f>
        <v/>
      </c>
      <c r="I196" s="2"/>
      <c r="J196" s="1"/>
      <c r="K196" s="1"/>
      <c r="L196" s="3"/>
      <c r="M196" s="3"/>
      <c r="N196" s="1" t="str">
        <f t="shared" si="4"/>
        <v/>
      </c>
      <c r="O196" s="3"/>
      <c r="P196" s="1"/>
      <c r="Q196" s="1"/>
      <c r="R196" s="1"/>
      <c r="S196" s="1"/>
      <c r="T196" s="1"/>
      <c r="U196" s="1"/>
      <c r="V196" s="1"/>
      <c r="W196" s="1"/>
      <c r="X196" s="1"/>
      <c r="Y196" s="1" t="s">
        <v>690</v>
      </c>
      <c r="Z196" s="5"/>
    </row>
    <row r="197" spans="1:26" x14ac:dyDescent="0.3">
      <c r="A197" s="4"/>
      <c r="B197" s="1"/>
      <c r="C197" s="1"/>
      <c r="D197" s="1"/>
      <c r="E197" s="1"/>
      <c r="F197" s="1"/>
      <c r="G197" s="1"/>
      <c r="H197" s="6" t="str">
        <f>IFERROR(VLOOKUP(F197, Index!C:D, 2, FALSE), "")</f>
        <v/>
      </c>
      <c r="I197" s="2"/>
      <c r="J197" s="1"/>
      <c r="K197" s="1"/>
      <c r="L197" s="3"/>
      <c r="M197" s="3"/>
      <c r="N197" s="1" t="str">
        <f t="shared" si="4"/>
        <v/>
      </c>
      <c r="O197" s="3"/>
      <c r="P197" s="1"/>
      <c r="Q197" s="1"/>
      <c r="R197" s="1"/>
      <c r="S197" s="1"/>
      <c r="T197" s="1"/>
      <c r="U197" s="1"/>
      <c r="V197" s="1"/>
      <c r="W197" s="1"/>
      <c r="X197" s="1"/>
      <c r="Y197" s="1" t="s">
        <v>690</v>
      </c>
      <c r="Z197" s="5"/>
    </row>
    <row r="198" spans="1:26" x14ac:dyDescent="0.3">
      <c r="A198" s="4"/>
      <c r="B198" s="1"/>
      <c r="C198" s="1"/>
      <c r="D198" s="1"/>
      <c r="E198" s="1"/>
      <c r="F198" s="1"/>
      <c r="G198" s="1"/>
      <c r="H198" s="6" t="str">
        <f>IFERROR(VLOOKUP(F198, Index!C:D, 2, FALSE), "")</f>
        <v/>
      </c>
      <c r="I198" s="2"/>
      <c r="J198" s="1"/>
      <c r="K198" s="1"/>
      <c r="L198" s="3"/>
      <c r="M198" s="3"/>
      <c r="N198" s="1" t="str">
        <f t="shared" si="4"/>
        <v/>
      </c>
      <c r="O198" s="3"/>
      <c r="P198" s="1"/>
      <c r="Q198" s="1"/>
      <c r="R198" s="1"/>
      <c r="S198" s="1"/>
      <c r="T198" s="1"/>
      <c r="U198" s="1"/>
      <c r="V198" s="1"/>
      <c r="W198" s="1"/>
      <c r="X198" s="1"/>
      <c r="Y198" s="1" t="s">
        <v>690</v>
      </c>
      <c r="Z198" s="5"/>
    </row>
    <row r="199" spans="1:26" x14ac:dyDescent="0.3">
      <c r="A199" s="4"/>
      <c r="B199" s="1"/>
      <c r="C199" s="1"/>
      <c r="D199" s="1"/>
      <c r="E199" s="1"/>
      <c r="F199" s="1"/>
      <c r="G199" s="1"/>
      <c r="H199" s="6" t="str">
        <f>IFERROR(VLOOKUP(F199, Index!C:D, 2, FALSE), "")</f>
        <v/>
      </c>
      <c r="I199" s="2"/>
      <c r="J199" s="1"/>
      <c r="K199" s="1"/>
      <c r="L199" s="3"/>
      <c r="M199" s="3"/>
      <c r="N199" s="1" t="str">
        <f t="shared" si="4"/>
        <v/>
      </c>
      <c r="O199" s="3"/>
      <c r="P199" s="1"/>
      <c r="Q199" s="1"/>
      <c r="R199" s="1"/>
      <c r="S199" s="1"/>
      <c r="T199" s="1"/>
      <c r="U199" s="1"/>
      <c r="V199" s="1"/>
      <c r="W199" s="1"/>
      <c r="X199" s="1"/>
      <c r="Y199" s="1" t="s">
        <v>690</v>
      </c>
      <c r="Z199" s="5"/>
    </row>
    <row r="200" spans="1:26" x14ac:dyDescent="0.3">
      <c r="A200" s="4"/>
      <c r="B200" s="1"/>
      <c r="C200" s="1"/>
      <c r="D200" s="1"/>
      <c r="E200" s="1"/>
      <c r="F200" s="1"/>
      <c r="G200" s="1"/>
      <c r="H200" s="6" t="str">
        <f>IFERROR(VLOOKUP(F200, Index!C:D, 2, FALSE), "")</f>
        <v/>
      </c>
      <c r="I200" s="2"/>
      <c r="J200" s="1"/>
      <c r="K200" s="1"/>
      <c r="L200" s="3"/>
      <c r="M200" s="3"/>
      <c r="N200" s="1" t="str">
        <f t="shared" si="4"/>
        <v/>
      </c>
      <c r="O200" s="3"/>
      <c r="P200" s="1"/>
      <c r="Q200" s="1"/>
      <c r="R200" s="1"/>
      <c r="S200" s="1"/>
      <c r="T200" s="1"/>
      <c r="U200" s="1"/>
      <c r="V200" s="1"/>
      <c r="W200" s="1"/>
      <c r="X200" s="1"/>
      <c r="Y200" s="1" t="s">
        <v>690</v>
      </c>
      <c r="Z200" s="5"/>
    </row>
    <row r="201" spans="1:26" x14ac:dyDescent="0.3">
      <c r="A201" s="4"/>
      <c r="B201" s="1"/>
      <c r="C201" s="1"/>
      <c r="D201" s="1"/>
      <c r="E201" s="1"/>
      <c r="F201" s="1"/>
      <c r="G201" s="1"/>
      <c r="H201" s="6" t="str">
        <f>IFERROR(VLOOKUP(F201, Index!C:D, 2, FALSE), "")</f>
        <v/>
      </c>
      <c r="I201" s="2"/>
      <c r="J201" s="1"/>
      <c r="K201" s="1"/>
      <c r="L201" s="3"/>
      <c r="M201" s="3"/>
      <c r="N201" s="1" t="str">
        <f t="shared" si="4"/>
        <v/>
      </c>
      <c r="O201" s="3"/>
      <c r="P201" s="1"/>
      <c r="Q201" s="1"/>
      <c r="R201" s="1"/>
      <c r="S201" s="1"/>
      <c r="T201" s="1"/>
      <c r="U201" s="1"/>
      <c r="V201" s="1"/>
      <c r="W201" s="1"/>
      <c r="X201" s="1"/>
      <c r="Y201" s="1" t="s">
        <v>690</v>
      </c>
      <c r="Z201" s="5"/>
    </row>
    <row r="202" spans="1:26" x14ac:dyDescent="0.3">
      <c r="A202" s="4"/>
      <c r="B202" s="1"/>
      <c r="C202" s="1"/>
      <c r="D202" s="1"/>
      <c r="E202" s="1"/>
      <c r="F202" s="1"/>
      <c r="G202" s="1"/>
      <c r="H202" s="6" t="str">
        <f>IFERROR(VLOOKUP(F202, Index!C:D, 2, FALSE), "")</f>
        <v/>
      </c>
      <c r="I202" s="2"/>
      <c r="J202" s="1"/>
      <c r="K202" s="1"/>
      <c r="L202" s="3"/>
      <c r="M202" s="3"/>
      <c r="N202" s="1" t="str">
        <f t="shared" si="4"/>
        <v/>
      </c>
      <c r="O202" s="3"/>
      <c r="P202" s="1"/>
      <c r="Q202" s="1"/>
      <c r="R202" s="1"/>
      <c r="S202" s="1"/>
      <c r="T202" s="1"/>
      <c r="U202" s="1"/>
      <c r="V202" s="1"/>
      <c r="W202" s="1"/>
      <c r="X202" s="1"/>
      <c r="Y202" s="1" t="s">
        <v>690</v>
      </c>
      <c r="Z202" s="5"/>
    </row>
    <row r="203" spans="1:26" x14ac:dyDescent="0.3">
      <c r="A203" s="4"/>
      <c r="B203" s="1"/>
      <c r="C203" s="1"/>
      <c r="D203" s="1"/>
      <c r="E203" s="1"/>
      <c r="F203" s="1"/>
      <c r="G203" s="1"/>
      <c r="H203" s="6" t="str">
        <f>IFERROR(VLOOKUP(F203, Index!C:D, 2, FALSE), "")</f>
        <v/>
      </c>
      <c r="I203" s="2"/>
      <c r="J203" s="1"/>
      <c r="K203" s="1"/>
      <c r="L203" s="3"/>
      <c r="M203" s="3"/>
      <c r="N203" s="1" t="str">
        <f t="shared" si="4"/>
        <v/>
      </c>
      <c r="O203" s="3"/>
      <c r="P203" s="1"/>
      <c r="Q203" s="1"/>
      <c r="R203" s="1"/>
      <c r="S203" s="1"/>
      <c r="T203" s="1"/>
      <c r="U203" s="1"/>
      <c r="V203" s="1"/>
      <c r="W203" s="1"/>
      <c r="X203" s="1"/>
      <c r="Y203" s="1" t="s">
        <v>690</v>
      </c>
      <c r="Z203" s="5"/>
    </row>
    <row r="204" spans="1:26" x14ac:dyDescent="0.3">
      <c r="A204" s="4"/>
      <c r="B204" s="1"/>
      <c r="C204" s="1"/>
      <c r="D204" s="1"/>
      <c r="E204" s="1"/>
      <c r="F204" s="1"/>
      <c r="G204" s="1"/>
      <c r="H204" s="6" t="str">
        <f>IFERROR(VLOOKUP(F204, Index!C:D, 2, FALSE), "")</f>
        <v/>
      </c>
      <c r="I204" s="2"/>
      <c r="J204" s="1"/>
      <c r="K204" s="1"/>
      <c r="L204" s="3"/>
      <c r="M204" s="3"/>
      <c r="N204" s="1" t="str">
        <f t="shared" si="4"/>
        <v/>
      </c>
      <c r="O204" s="3"/>
      <c r="P204" s="1"/>
      <c r="Q204" s="1"/>
      <c r="R204" s="1"/>
      <c r="S204" s="1"/>
      <c r="T204" s="1"/>
      <c r="U204" s="1"/>
      <c r="V204" s="1"/>
      <c r="W204" s="1"/>
      <c r="X204" s="1"/>
      <c r="Y204" s="1" t="s">
        <v>690</v>
      </c>
      <c r="Z204" s="5"/>
    </row>
    <row r="205" spans="1:26" x14ac:dyDescent="0.3">
      <c r="A205" s="4"/>
      <c r="B205" s="1"/>
      <c r="C205" s="1"/>
      <c r="D205" s="1"/>
      <c r="E205" s="1"/>
      <c r="F205" s="1"/>
      <c r="G205" s="1"/>
      <c r="H205" s="6" t="str">
        <f>IFERROR(VLOOKUP(F205, Index!C:D, 2, FALSE), "")</f>
        <v/>
      </c>
      <c r="I205" s="2"/>
      <c r="J205" s="1"/>
      <c r="K205" s="1"/>
      <c r="L205" s="3"/>
      <c r="M205" s="3"/>
      <c r="N205" s="1" t="str">
        <f t="shared" si="4"/>
        <v/>
      </c>
      <c r="O205" s="3"/>
      <c r="P205" s="1"/>
      <c r="Q205" s="1"/>
      <c r="R205" s="1"/>
      <c r="S205" s="1"/>
      <c r="T205" s="1"/>
      <c r="U205" s="1"/>
      <c r="V205" s="1"/>
      <c r="W205" s="1"/>
      <c r="X205" s="1"/>
      <c r="Y205" s="1" t="s">
        <v>690</v>
      </c>
      <c r="Z205" s="5"/>
    </row>
    <row r="206" spans="1:26" x14ac:dyDescent="0.3">
      <c r="A206" s="4"/>
      <c r="B206" s="1"/>
      <c r="C206" s="1"/>
      <c r="D206" s="1"/>
      <c r="E206" s="1"/>
      <c r="F206" s="1"/>
      <c r="G206" s="1"/>
      <c r="H206" s="6" t="str">
        <f>IFERROR(VLOOKUP(F206, Index!C:D, 2, FALSE), "")</f>
        <v/>
      </c>
      <c r="I206" s="2"/>
      <c r="J206" s="1"/>
      <c r="K206" s="1"/>
      <c r="L206" s="3"/>
      <c r="M206" s="3"/>
      <c r="N206" s="1" t="str">
        <f t="shared" si="4"/>
        <v/>
      </c>
      <c r="O206" s="3"/>
      <c r="P206" s="1"/>
      <c r="Q206" s="1"/>
      <c r="R206" s="1"/>
      <c r="S206" s="1"/>
      <c r="T206" s="1"/>
      <c r="U206" s="1"/>
      <c r="V206" s="1"/>
      <c r="W206" s="1"/>
      <c r="X206" s="1"/>
      <c r="Y206" s="1" t="s">
        <v>690</v>
      </c>
      <c r="Z206" s="5"/>
    </row>
    <row r="207" spans="1:26" x14ac:dyDescent="0.3">
      <c r="A207" s="4"/>
      <c r="B207" s="1"/>
      <c r="C207" s="1"/>
      <c r="D207" s="1"/>
      <c r="E207" s="1"/>
      <c r="F207" s="1"/>
      <c r="G207" s="1"/>
      <c r="H207" s="6" t="str">
        <f>IFERROR(VLOOKUP(F207, Index!C:D, 2, FALSE), "")</f>
        <v/>
      </c>
      <c r="I207" s="2"/>
      <c r="J207" s="1"/>
      <c r="K207" s="1"/>
      <c r="L207" s="3"/>
      <c r="M207" s="3"/>
      <c r="N207" s="1" t="str">
        <f t="shared" si="4"/>
        <v/>
      </c>
      <c r="O207" s="3"/>
      <c r="P207" s="1"/>
      <c r="Q207" s="1"/>
      <c r="R207" s="1"/>
      <c r="S207" s="1"/>
      <c r="T207" s="1"/>
      <c r="U207" s="1"/>
      <c r="V207" s="1"/>
      <c r="W207" s="1"/>
      <c r="X207" s="1"/>
      <c r="Y207" s="1" t="s">
        <v>690</v>
      </c>
      <c r="Z207" s="5"/>
    </row>
    <row r="208" spans="1:26" x14ac:dyDescent="0.3">
      <c r="A208" s="4"/>
      <c r="B208" s="1"/>
      <c r="C208" s="1"/>
      <c r="D208" s="1"/>
      <c r="E208" s="1"/>
      <c r="F208" s="1"/>
      <c r="G208" s="1"/>
      <c r="H208" s="6" t="str">
        <f>IFERROR(VLOOKUP(F208, Index!C:D, 2, FALSE), "")</f>
        <v/>
      </c>
      <c r="I208" s="2"/>
      <c r="J208" s="1"/>
      <c r="K208" s="1"/>
      <c r="L208" s="3"/>
      <c r="M208" s="3"/>
      <c r="N208" s="1" t="str">
        <f t="shared" si="4"/>
        <v/>
      </c>
      <c r="O208" s="3"/>
      <c r="P208" s="1"/>
      <c r="Q208" s="1"/>
      <c r="R208" s="1"/>
      <c r="S208" s="1"/>
      <c r="T208" s="1"/>
      <c r="U208" s="1"/>
      <c r="V208" s="1"/>
      <c r="W208" s="1"/>
      <c r="X208" s="1"/>
      <c r="Y208" s="1" t="s">
        <v>690</v>
      </c>
      <c r="Z208" s="5"/>
    </row>
    <row r="209" spans="1:26" x14ac:dyDescent="0.3">
      <c r="A209" s="4"/>
      <c r="B209" s="1"/>
      <c r="C209" s="1"/>
      <c r="D209" s="1"/>
      <c r="E209" s="1"/>
      <c r="F209" s="1"/>
      <c r="G209" s="1"/>
      <c r="H209" s="6" t="str">
        <f>IFERROR(VLOOKUP(F209, Index!C:D, 2, FALSE), "")</f>
        <v/>
      </c>
      <c r="I209" s="2"/>
      <c r="J209" s="1"/>
      <c r="K209" s="1"/>
      <c r="L209" s="3"/>
      <c r="M209" s="3"/>
      <c r="N209" s="1" t="str">
        <f t="shared" si="4"/>
        <v/>
      </c>
      <c r="O209" s="3"/>
      <c r="P209" s="1"/>
      <c r="Q209" s="1"/>
      <c r="R209" s="1"/>
      <c r="S209" s="1"/>
      <c r="T209" s="1"/>
      <c r="U209" s="1"/>
      <c r="V209" s="1"/>
      <c r="W209" s="1"/>
      <c r="X209" s="1"/>
      <c r="Y209" s="1" t="s">
        <v>690</v>
      </c>
      <c r="Z209" s="5"/>
    </row>
    <row r="210" spans="1:26" x14ac:dyDescent="0.3">
      <c r="A210" s="4"/>
      <c r="B210" s="1"/>
      <c r="C210" s="1"/>
      <c r="D210" s="1"/>
      <c r="E210" s="1"/>
      <c r="F210" s="1"/>
      <c r="G210" s="1"/>
      <c r="H210" s="6" t="str">
        <f>IFERROR(VLOOKUP(F210, Index!C:D, 2, FALSE), "")</f>
        <v/>
      </c>
      <c r="I210" s="2"/>
      <c r="J210" s="1"/>
      <c r="K210" s="1"/>
      <c r="L210" s="3"/>
      <c r="M210" s="3"/>
      <c r="N210" s="1" t="str">
        <f t="shared" si="4"/>
        <v/>
      </c>
      <c r="O210" s="3"/>
      <c r="P210" s="1"/>
      <c r="Q210" s="1"/>
      <c r="R210" s="1"/>
      <c r="S210" s="1"/>
      <c r="T210" s="1"/>
      <c r="U210" s="1"/>
      <c r="V210" s="1"/>
      <c r="W210" s="1"/>
      <c r="X210" s="1"/>
      <c r="Y210" s="1" t="s">
        <v>690</v>
      </c>
      <c r="Z210" s="5"/>
    </row>
    <row r="211" spans="1:26" x14ac:dyDescent="0.3">
      <c r="A211" s="4"/>
      <c r="B211" s="1"/>
      <c r="C211" s="1"/>
      <c r="D211" s="1"/>
      <c r="E211" s="1"/>
      <c r="F211" s="1"/>
      <c r="G211" s="1"/>
      <c r="H211" s="6" t="str">
        <f>IFERROR(VLOOKUP(F211, Index!C:D, 2, FALSE), "")</f>
        <v/>
      </c>
      <c r="I211" s="2"/>
      <c r="J211" s="1"/>
      <c r="K211" s="1"/>
      <c r="L211" s="3"/>
      <c r="M211" s="3"/>
      <c r="N211" s="1" t="str">
        <f t="shared" si="4"/>
        <v/>
      </c>
      <c r="O211" s="3"/>
      <c r="P211" s="1"/>
      <c r="Q211" s="1"/>
      <c r="R211" s="1"/>
      <c r="S211" s="1"/>
      <c r="T211" s="1"/>
      <c r="U211" s="1"/>
      <c r="V211" s="1"/>
      <c r="W211" s="1"/>
      <c r="X211" s="1"/>
      <c r="Y211" s="1" t="s">
        <v>690</v>
      </c>
      <c r="Z211" s="5"/>
    </row>
    <row r="212" spans="1:26" x14ac:dyDescent="0.3">
      <c r="A212" s="4"/>
      <c r="B212" s="1"/>
      <c r="C212" s="1"/>
      <c r="D212" s="1"/>
      <c r="E212" s="1"/>
      <c r="F212" s="1"/>
      <c r="G212" s="1"/>
      <c r="H212" s="6" t="str">
        <f>IFERROR(VLOOKUP(F212, Index!C:D, 2, FALSE), "")</f>
        <v/>
      </c>
      <c r="I212" s="2"/>
      <c r="J212" s="1"/>
      <c r="K212" s="1"/>
      <c r="L212" s="3"/>
      <c r="M212" s="3"/>
      <c r="N212" s="1" t="str">
        <f t="shared" si="4"/>
        <v/>
      </c>
      <c r="O212" s="3"/>
      <c r="P212" s="1"/>
      <c r="Q212" s="1"/>
      <c r="R212" s="1"/>
      <c r="S212" s="1"/>
      <c r="T212" s="1"/>
      <c r="U212" s="1"/>
      <c r="V212" s="1"/>
      <c r="W212" s="1"/>
      <c r="X212" s="1"/>
      <c r="Y212" s="1" t="s">
        <v>690</v>
      </c>
      <c r="Z212" s="5"/>
    </row>
    <row r="213" spans="1:26" x14ac:dyDescent="0.3">
      <c r="A213" s="4"/>
      <c r="B213" s="1"/>
      <c r="C213" s="1"/>
      <c r="D213" s="1"/>
      <c r="E213" s="1"/>
      <c r="F213" s="1"/>
      <c r="G213" s="1"/>
      <c r="H213" s="6" t="str">
        <f>IFERROR(VLOOKUP(F213, Index!C:D, 2, FALSE), "")</f>
        <v/>
      </c>
      <c r="I213" s="2"/>
      <c r="J213" s="1"/>
      <c r="K213" s="1"/>
      <c r="L213" s="3"/>
      <c r="M213" s="3"/>
      <c r="N213" s="1" t="str">
        <f t="shared" si="4"/>
        <v/>
      </c>
      <c r="O213" s="3"/>
      <c r="P213" s="1"/>
      <c r="Q213" s="1"/>
      <c r="R213" s="1"/>
      <c r="S213" s="1"/>
      <c r="T213" s="1"/>
      <c r="U213" s="1"/>
      <c r="V213" s="1"/>
      <c r="W213" s="1"/>
      <c r="X213" s="1"/>
      <c r="Y213" s="1" t="s">
        <v>690</v>
      </c>
      <c r="Z213" s="5"/>
    </row>
    <row r="214" spans="1:26" x14ac:dyDescent="0.3">
      <c r="A214" s="4"/>
      <c r="B214" s="1"/>
      <c r="C214" s="1"/>
      <c r="D214" s="1"/>
      <c r="E214" s="1"/>
      <c r="F214" s="1"/>
      <c r="G214" s="1"/>
      <c r="H214" s="6" t="str">
        <f>IFERROR(VLOOKUP(F214, Index!C:D, 2, FALSE), "")</f>
        <v/>
      </c>
      <c r="I214" s="2"/>
      <c r="J214" s="1"/>
      <c r="K214" s="1"/>
      <c r="L214" s="3"/>
      <c r="M214" s="3"/>
      <c r="N214" s="1" t="str">
        <f t="shared" si="4"/>
        <v/>
      </c>
      <c r="O214" s="3"/>
      <c r="P214" s="1"/>
      <c r="Q214" s="1"/>
      <c r="R214" s="1"/>
      <c r="S214" s="1"/>
      <c r="T214" s="1"/>
      <c r="U214" s="1"/>
      <c r="V214" s="1"/>
      <c r="W214" s="1"/>
      <c r="X214" s="1"/>
      <c r="Y214" s="1" t="s">
        <v>690</v>
      </c>
      <c r="Z214" s="5"/>
    </row>
    <row r="215" spans="1:26" x14ac:dyDescent="0.3">
      <c r="A215" s="4"/>
      <c r="B215" s="1"/>
      <c r="C215" s="1"/>
      <c r="D215" s="1"/>
      <c r="E215" s="1"/>
      <c r="F215" s="1"/>
      <c r="G215" s="1"/>
      <c r="H215" s="6" t="str">
        <f>IFERROR(VLOOKUP(F215, Index!C:D, 2, FALSE), "")</f>
        <v/>
      </c>
      <c r="I215" s="2"/>
      <c r="J215" s="1"/>
      <c r="K215" s="1"/>
      <c r="L215" s="3"/>
      <c r="M215" s="3"/>
      <c r="N215" s="1" t="str">
        <f t="shared" si="4"/>
        <v/>
      </c>
      <c r="O215" s="3"/>
      <c r="P215" s="1"/>
      <c r="Q215" s="1"/>
      <c r="R215" s="1"/>
      <c r="S215" s="1"/>
      <c r="T215" s="1"/>
      <c r="U215" s="1"/>
      <c r="V215" s="1"/>
      <c r="W215" s="1"/>
      <c r="X215" s="1"/>
      <c r="Y215" s="1" t="s">
        <v>690</v>
      </c>
      <c r="Z215" s="5"/>
    </row>
    <row r="216" spans="1:26" x14ac:dyDescent="0.3">
      <c r="A216" s="4"/>
      <c r="B216" s="1"/>
      <c r="C216" s="1"/>
      <c r="D216" s="1"/>
      <c r="E216" s="1"/>
      <c r="F216" s="1"/>
      <c r="G216" s="1"/>
      <c r="H216" s="6" t="str">
        <f>IFERROR(VLOOKUP(F216, Index!C:D, 2, FALSE), "")</f>
        <v/>
      </c>
      <c r="I216" s="2"/>
      <c r="J216" s="1"/>
      <c r="K216" s="1"/>
      <c r="L216" s="3"/>
      <c r="M216" s="3"/>
      <c r="N216" s="1" t="str">
        <f t="shared" si="4"/>
        <v/>
      </c>
      <c r="O216" s="3"/>
      <c r="P216" s="1"/>
      <c r="Q216" s="1"/>
      <c r="R216" s="1"/>
      <c r="S216" s="1"/>
      <c r="T216" s="1"/>
      <c r="U216" s="1"/>
      <c r="V216" s="1"/>
      <c r="W216" s="1"/>
      <c r="X216" s="1"/>
      <c r="Y216" s="1" t="s">
        <v>690</v>
      </c>
      <c r="Z216" s="5"/>
    </row>
    <row r="217" spans="1:26" x14ac:dyDescent="0.3">
      <c r="A217" s="4"/>
      <c r="B217" s="1"/>
      <c r="C217" s="1"/>
      <c r="D217" s="1"/>
      <c r="E217" s="1"/>
      <c r="F217" s="1"/>
      <c r="G217" s="1"/>
      <c r="H217" s="6" t="str">
        <f>IFERROR(VLOOKUP(F217, Index!C:D, 2, FALSE), "")</f>
        <v/>
      </c>
      <c r="I217" s="2"/>
      <c r="J217" s="1"/>
      <c r="K217" s="1"/>
      <c r="L217" s="3"/>
      <c r="M217" s="3"/>
      <c r="N217" s="1" t="str">
        <f t="shared" si="4"/>
        <v/>
      </c>
      <c r="O217" s="3"/>
      <c r="P217" s="1"/>
      <c r="Q217" s="1"/>
      <c r="R217" s="1"/>
      <c r="S217" s="1"/>
      <c r="T217" s="1"/>
      <c r="U217" s="1"/>
      <c r="V217" s="1"/>
      <c r="W217" s="1"/>
      <c r="X217" s="1"/>
      <c r="Y217" s="1" t="s">
        <v>690</v>
      </c>
      <c r="Z217" s="5"/>
    </row>
    <row r="218" spans="1:26" x14ac:dyDescent="0.3">
      <c r="A218" s="4"/>
      <c r="B218" s="1"/>
      <c r="C218" s="1"/>
      <c r="D218" s="1"/>
      <c r="E218" s="1"/>
      <c r="F218" s="1"/>
      <c r="G218" s="1"/>
      <c r="H218" s="6" t="str">
        <f>IFERROR(VLOOKUP(F218, Index!C:D, 2, FALSE), "")</f>
        <v/>
      </c>
      <c r="I218" s="2"/>
      <c r="J218" s="1"/>
      <c r="K218" s="1"/>
      <c r="L218" s="3"/>
      <c r="M218" s="3"/>
      <c r="N218" s="1" t="str">
        <f t="shared" si="4"/>
        <v/>
      </c>
      <c r="O218" s="3"/>
      <c r="P218" s="1"/>
      <c r="Q218" s="1"/>
      <c r="R218" s="1"/>
      <c r="S218" s="1"/>
      <c r="T218" s="1"/>
      <c r="U218" s="1"/>
      <c r="V218" s="1"/>
      <c r="W218" s="1"/>
      <c r="X218" s="1"/>
      <c r="Y218" s="1" t="s">
        <v>690</v>
      </c>
      <c r="Z218" s="5"/>
    </row>
    <row r="219" spans="1:26" x14ac:dyDescent="0.3">
      <c r="A219" s="4"/>
      <c r="B219" s="1"/>
      <c r="C219" s="1"/>
      <c r="D219" s="1"/>
      <c r="E219" s="1"/>
      <c r="F219" s="1"/>
      <c r="G219" s="1"/>
      <c r="H219" s="6" t="str">
        <f>IFERROR(VLOOKUP(F219, Index!C:D, 2, FALSE), "")</f>
        <v/>
      </c>
      <c r="I219" s="2"/>
      <c r="J219" s="1"/>
      <c r="K219" s="1"/>
      <c r="L219" s="3"/>
      <c r="M219" s="3"/>
      <c r="N219" s="1" t="str">
        <f t="shared" si="4"/>
        <v/>
      </c>
      <c r="O219" s="3"/>
      <c r="P219" s="1"/>
      <c r="Q219" s="1"/>
      <c r="R219" s="1"/>
      <c r="S219" s="1"/>
      <c r="T219" s="1"/>
      <c r="U219" s="1"/>
      <c r="V219" s="1"/>
      <c r="W219" s="1"/>
      <c r="X219" s="1"/>
      <c r="Y219" s="1" t="s">
        <v>690</v>
      </c>
      <c r="Z219" s="5"/>
    </row>
    <row r="220" spans="1:26" x14ac:dyDescent="0.3">
      <c r="A220" s="4"/>
      <c r="B220" s="1"/>
      <c r="C220" s="1"/>
      <c r="D220" s="1"/>
      <c r="E220" s="1"/>
      <c r="F220" s="1"/>
      <c r="G220" s="1"/>
      <c r="H220" s="6" t="str">
        <f>IFERROR(VLOOKUP(F220, Index!C:D, 2, FALSE), "")</f>
        <v/>
      </c>
      <c r="I220" s="2"/>
      <c r="J220" s="1"/>
      <c r="K220" s="1"/>
      <c r="L220" s="3"/>
      <c r="M220" s="3"/>
      <c r="N220" s="1" t="str">
        <f t="shared" si="4"/>
        <v/>
      </c>
      <c r="O220" s="3"/>
      <c r="P220" s="1"/>
      <c r="Q220" s="1"/>
      <c r="R220" s="1"/>
      <c r="S220" s="1"/>
      <c r="T220" s="1"/>
      <c r="U220" s="1"/>
      <c r="V220" s="1"/>
      <c r="W220" s="1"/>
      <c r="X220" s="1"/>
      <c r="Y220" s="1" t="s">
        <v>690</v>
      </c>
      <c r="Z220" s="5"/>
    </row>
    <row r="221" spans="1:26" x14ac:dyDescent="0.3">
      <c r="A221" s="4"/>
      <c r="B221" s="1"/>
      <c r="C221" s="1"/>
      <c r="D221" s="1"/>
      <c r="E221" s="1"/>
      <c r="F221" s="1"/>
      <c r="G221" s="1"/>
      <c r="H221" s="6" t="str">
        <f>IFERROR(VLOOKUP(F221, Index!C:D, 2, FALSE), "")</f>
        <v/>
      </c>
      <c r="I221" s="2"/>
      <c r="J221" s="1"/>
      <c r="K221" s="1"/>
      <c r="L221" s="3"/>
      <c r="M221" s="3"/>
      <c r="N221" s="1" t="str">
        <f t="shared" si="4"/>
        <v/>
      </c>
      <c r="O221" s="3"/>
      <c r="P221" s="1"/>
      <c r="Q221" s="1"/>
      <c r="R221" s="1"/>
      <c r="S221" s="1"/>
      <c r="T221" s="1"/>
      <c r="U221" s="1"/>
      <c r="V221" s="1"/>
      <c r="W221" s="1"/>
      <c r="X221" s="1"/>
      <c r="Y221" s="1" t="s">
        <v>690</v>
      </c>
      <c r="Z221" s="5"/>
    </row>
    <row r="222" spans="1:26" x14ac:dyDescent="0.3">
      <c r="A222" s="4"/>
      <c r="B222" s="1"/>
      <c r="C222" s="1"/>
      <c r="D222" s="1"/>
      <c r="E222" s="1"/>
      <c r="F222" s="1"/>
      <c r="G222" s="1"/>
      <c r="H222" s="6" t="str">
        <f>IFERROR(VLOOKUP(F222, Index!C:D, 2, FALSE), "")</f>
        <v/>
      </c>
      <c r="I222" s="2"/>
      <c r="J222" s="1"/>
      <c r="K222" s="1"/>
      <c r="L222" s="3"/>
      <c r="M222" s="3"/>
      <c r="N222" s="1" t="str">
        <f t="shared" si="4"/>
        <v/>
      </c>
      <c r="O222" s="3"/>
      <c r="P222" s="1"/>
      <c r="Q222" s="1"/>
      <c r="R222" s="1"/>
      <c r="S222" s="1"/>
      <c r="T222" s="1"/>
      <c r="U222" s="1"/>
      <c r="V222" s="1"/>
      <c r="W222" s="1"/>
      <c r="X222" s="1"/>
      <c r="Y222" s="1" t="s">
        <v>690</v>
      </c>
      <c r="Z222" s="5"/>
    </row>
    <row r="223" spans="1:26" x14ac:dyDescent="0.3">
      <c r="A223" s="4"/>
      <c r="B223" s="1"/>
      <c r="C223" s="1"/>
      <c r="D223" s="1"/>
      <c r="E223" s="1"/>
      <c r="F223" s="1"/>
      <c r="G223" s="1"/>
      <c r="H223" s="6" t="str">
        <f>IFERROR(VLOOKUP(F223, Index!C:D, 2, FALSE), "")</f>
        <v/>
      </c>
      <c r="I223" s="2"/>
      <c r="J223" s="1"/>
      <c r="K223" s="1"/>
      <c r="L223" s="3"/>
      <c r="M223" s="3"/>
      <c r="N223" s="1" t="str">
        <f t="shared" si="4"/>
        <v/>
      </c>
      <c r="O223" s="3"/>
      <c r="P223" s="1"/>
      <c r="Q223" s="1"/>
      <c r="R223" s="1"/>
      <c r="S223" s="1"/>
      <c r="T223" s="1"/>
      <c r="U223" s="1"/>
      <c r="V223" s="1"/>
      <c r="W223" s="1"/>
      <c r="X223" s="1"/>
      <c r="Y223" s="1" t="s">
        <v>690</v>
      </c>
      <c r="Z223" s="5"/>
    </row>
    <row r="224" spans="1:26" x14ac:dyDescent="0.3">
      <c r="A224" s="4"/>
      <c r="B224" s="1"/>
      <c r="C224" s="1"/>
      <c r="D224" s="1"/>
      <c r="E224" s="1"/>
      <c r="F224" s="1"/>
      <c r="G224" s="1"/>
      <c r="H224" s="6" t="str">
        <f>IFERROR(VLOOKUP(F224, Index!C:D, 2, FALSE), "")</f>
        <v/>
      </c>
      <c r="I224" s="2"/>
      <c r="J224" s="1"/>
      <c r="K224" s="1"/>
      <c r="L224" s="3"/>
      <c r="M224" s="3"/>
      <c r="N224" s="1" t="str">
        <f t="shared" si="4"/>
        <v/>
      </c>
      <c r="O224" s="3"/>
      <c r="P224" s="1"/>
      <c r="Q224" s="1"/>
      <c r="R224" s="1"/>
      <c r="S224" s="1"/>
      <c r="T224" s="1"/>
      <c r="U224" s="1"/>
      <c r="V224" s="1"/>
      <c r="W224" s="1"/>
      <c r="X224" s="1"/>
      <c r="Y224" s="1" t="s">
        <v>690</v>
      </c>
      <c r="Z224" s="5"/>
    </row>
    <row r="225" spans="1:26" x14ac:dyDescent="0.3">
      <c r="A225" s="4"/>
      <c r="B225" s="1"/>
      <c r="C225" s="1"/>
      <c r="D225" s="1"/>
      <c r="E225" s="1"/>
      <c r="F225" s="1"/>
      <c r="G225" s="1"/>
      <c r="H225" s="6" t="str">
        <f>IFERROR(VLOOKUP(F225, Index!C:D, 2, FALSE), "")</f>
        <v/>
      </c>
      <c r="I225" s="2"/>
      <c r="J225" s="1"/>
      <c r="K225" s="1"/>
      <c r="L225" s="3"/>
      <c r="M225" s="3"/>
      <c r="N225" s="1" t="str">
        <f t="shared" si="4"/>
        <v/>
      </c>
      <c r="O225" s="3"/>
      <c r="P225" s="1"/>
      <c r="Q225" s="1"/>
      <c r="R225" s="1"/>
      <c r="S225" s="1"/>
      <c r="T225" s="1"/>
      <c r="U225" s="1"/>
      <c r="V225" s="1"/>
      <c r="W225" s="1"/>
      <c r="X225" s="1"/>
      <c r="Y225" s="1" t="s">
        <v>690</v>
      </c>
      <c r="Z225" s="5"/>
    </row>
    <row r="226" spans="1:26" x14ac:dyDescent="0.3">
      <c r="A226" s="4"/>
      <c r="B226" s="1"/>
      <c r="C226" s="1"/>
      <c r="D226" s="1"/>
      <c r="E226" s="1"/>
      <c r="F226" s="1"/>
      <c r="G226" s="1"/>
      <c r="H226" s="6" t="str">
        <f>IFERROR(VLOOKUP(F226, Index!C:D, 2, FALSE), "")</f>
        <v/>
      </c>
      <c r="I226" s="2"/>
      <c r="J226" s="1"/>
      <c r="K226" s="1"/>
      <c r="L226" s="3"/>
      <c r="M226" s="3"/>
      <c r="N226" s="1" t="str">
        <f t="shared" si="4"/>
        <v/>
      </c>
      <c r="O226" s="3"/>
      <c r="P226" s="1"/>
      <c r="Q226" s="1"/>
      <c r="R226" s="1"/>
      <c r="S226" s="1"/>
      <c r="T226" s="1"/>
      <c r="U226" s="1"/>
      <c r="V226" s="1"/>
      <c r="W226" s="1"/>
      <c r="X226" s="1"/>
      <c r="Y226" s="1" t="s">
        <v>690</v>
      </c>
      <c r="Z226" s="5"/>
    </row>
    <row r="227" spans="1:26" x14ac:dyDescent="0.3">
      <c r="A227" s="4"/>
      <c r="B227" s="1"/>
      <c r="C227" s="1"/>
      <c r="D227" s="1"/>
      <c r="E227" s="1"/>
      <c r="F227" s="1"/>
      <c r="G227" s="1"/>
      <c r="H227" s="6" t="str">
        <f>IFERROR(VLOOKUP(F227, Index!C:D, 2, FALSE), "")</f>
        <v/>
      </c>
      <c r="I227" s="2"/>
      <c r="J227" s="1"/>
      <c r="K227" s="1"/>
      <c r="L227" s="3"/>
      <c r="M227" s="3"/>
      <c r="N227" s="1" t="str">
        <f t="shared" si="4"/>
        <v/>
      </c>
      <c r="O227" s="3"/>
      <c r="P227" s="1"/>
      <c r="Q227" s="1"/>
      <c r="R227" s="1"/>
      <c r="S227" s="1"/>
      <c r="T227" s="1"/>
      <c r="U227" s="1"/>
      <c r="V227" s="1"/>
      <c r="W227" s="1"/>
      <c r="X227" s="1"/>
      <c r="Y227" s="1" t="s">
        <v>690</v>
      </c>
      <c r="Z227" s="5"/>
    </row>
    <row r="228" spans="1:26" x14ac:dyDescent="0.3">
      <c r="A228" s="4"/>
      <c r="B228" s="1"/>
      <c r="C228" s="1"/>
      <c r="D228" s="1"/>
      <c r="E228" s="1"/>
      <c r="F228" s="1"/>
      <c r="G228" s="1"/>
      <c r="H228" s="6" t="str">
        <f>IFERROR(VLOOKUP(F228, Index!C:D, 2, FALSE), "")</f>
        <v/>
      </c>
      <c r="I228" s="2"/>
      <c r="J228" s="1"/>
      <c r="K228" s="1"/>
      <c r="L228" s="3"/>
      <c r="M228" s="3"/>
      <c r="N228" s="1" t="str">
        <f t="shared" si="4"/>
        <v/>
      </c>
      <c r="O228" s="3"/>
      <c r="P228" s="1"/>
      <c r="Q228" s="1"/>
      <c r="R228" s="1"/>
      <c r="S228" s="1"/>
      <c r="T228" s="1"/>
      <c r="U228" s="1"/>
      <c r="V228" s="1"/>
      <c r="W228" s="1"/>
      <c r="X228" s="1"/>
      <c r="Y228" s="1" t="s">
        <v>690</v>
      </c>
      <c r="Z228" s="5"/>
    </row>
    <row r="229" spans="1:26" x14ac:dyDescent="0.3">
      <c r="A229" s="4"/>
      <c r="B229" s="1"/>
      <c r="C229" s="1"/>
      <c r="D229" s="1"/>
      <c r="E229" s="1"/>
      <c r="F229" s="1"/>
      <c r="G229" s="1"/>
      <c r="H229" s="6" t="str">
        <f>IFERROR(VLOOKUP(F229, Index!C:D, 2, FALSE), "")</f>
        <v/>
      </c>
      <c r="I229" s="2"/>
      <c r="J229" s="1"/>
      <c r="K229" s="1"/>
      <c r="L229" s="3"/>
      <c r="M229" s="3"/>
      <c r="N229" s="1" t="str">
        <f t="shared" si="4"/>
        <v/>
      </c>
      <c r="O229" s="3"/>
      <c r="P229" s="1"/>
      <c r="Q229" s="1"/>
      <c r="R229" s="1"/>
      <c r="S229" s="1"/>
      <c r="T229" s="1"/>
      <c r="U229" s="1"/>
      <c r="V229" s="1"/>
      <c r="W229" s="1"/>
      <c r="X229" s="1"/>
      <c r="Y229" s="1" t="s">
        <v>690</v>
      </c>
      <c r="Z229" s="5"/>
    </row>
    <row r="230" spans="1:26" x14ac:dyDescent="0.3">
      <c r="A230" s="4"/>
      <c r="B230" s="1"/>
      <c r="C230" s="1"/>
      <c r="D230" s="1"/>
      <c r="E230" s="1"/>
      <c r="F230" s="1"/>
      <c r="G230" s="1"/>
      <c r="H230" s="6" t="str">
        <f>IFERROR(VLOOKUP(F230, Index!C:D, 2, FALSE), "")</f>
        <v/>
      </c>
      <c r="I230" s="2"/>
      <c r="J230" s="1"/>
      <c r="K230" s="1"/>
      <c r="L230" s="3"/>
      <c r="M230" s="3"/>
      <c r="N230" s="1" t="str">
        <f t="shared" si="4"/>
        <v/>
      </c>
      <c r="O230" s="3"/>
      <c r="P230" s="1"/>
      <c r="Q230" s="1"/>
      <c r="R230" s="1"/>
      <c r="S230" s="1"/>
      <c r="T230" s="1"/>
      <c r="U230" s="1"/>
      <c r="V230" s="1"/>
      <c r="W230" s="1"/>
      <c r="X230" s="1"/>
      <c r="Y230" s="1" t="s">
        <v>690</v>
      </c>
      <c r="Z230" s="5"/>
    </row>
    <row r="231" spans="1:26" x14ac:dyDescent="0.3">
      <c r="A231" s="4"/>
      <c r="B231" s="1"/>
      <c r="C231" s="1"/>
      <c r="D231" s="1"/>
      <c r="E231" s="1"/>
      <c r="F231" s="1"/>
      <c r="G231" s="1"/>
      <c r="H231" s="6" t="str">
        <f>IFERROR(VLOOKUP(F231, Index!C:D, 2, FALSE), "")</f>
        <v/>
      </c>
      <c r="I231" s="2"/>
      <c r="J231" s="1"/>
      <c r="K231" s="1"/>
      <c r="L231" s="3"/>
      <c r="M231" s="3"/>
      <c r="N231" s="1" t="str">
        <f t="shared" si="4"/>
        <v/>
      </c>
      <c r="O231" s="3"/>
      <c r="P231" s="1"/>
      <c r="Q231" s="1"/>
      <c r="R231" s="1"/>
      <c r="S231" s="1"/>
      <c r="T231" s="1"/>
      <c r="U231" s="1"/>
      <c r="V231" s="1"/>
      <c r="W231" s="1"/>
      <c r="X231" s="1"/>
      <c r="Y231" s="1" t="s">
        <v>690</v>
      </c>
      <c r="Z231" s="5"/>
    </row>
    <row r="232" spans="1:26" x14ac:dyDescent="0.3">
      <c r="A232" s="4"/>
      <c r="B232" s="1"/>
      <c r="C232" s="1"/>
      <c r="D232" s="1"/>
      <c r="E232" s="1"/>
      <c r="F232" s="1"/>
      <c r="G232" s="1"/>
      <c r="H232" s="6" t="str">
        <f>IFERROR(VLOOKUP(F232, Index!C:D, 2, FALSE), "")</f>
        <v/>
      </c>
      <c r="I232" s="2"/>
      <c r="J232" s="1"/>
      <c r="K232" s="1"/>
      <c r="L232" s="3"/>
      <c r="M232" s="3"/>
      <c r="N232" s="1" t="str">
        <f t="shared" si="4"/>
        <v/>
      </c>
      <c r="O232" s="3"/>
      <c r="P232" s="1"/>
      <c r="Q232" s="1"/>
      <c r="R232" s="1"/>
      <c r="S232" s="1"/>
      <c r="T232" s="1"/>
      <c r="U232" s="1"/>
      <c r="V232" s="1"/>
      <c r="W232" s="1"/>
      <c r="X232" s="1"/>
      <c r="Y232" s="1" t="s">
        <v>690</v>
      </c>
      <c r="Z232" s="5"/>
    </row>
    <row r="233" spans="1:26" x14ac:dyDescent="0.3">
      <c r="A233" s="4"/>
      <c r="B233" s="1"/>
      <c r="C233" s="1"/>
      <c r="D233" s="1"/>
      <c r="E233" s="1"/>
      <c r="F233" s="1"/>
      <c r="G233" s="1"/>
      <c r="H233" s="6" t="str">
        <f>IFERROR(VLOOKUP(F233, Index!C:D, 2, FALSE), "")</f>
        <v/>
      </c>
      <c r="I233" s="2"/>
      <c r="J233" s="1"/>
      <c r="K233" s="1"/>
      <c r="L233" s="3"/>
      <c r="M233" s="3"/>
      <c r="N233" s="1" t="str">
        <f t="shared" si="4"/>
        <v/>
      </c>
      <c r="O233" s="3"/>
      <c r="P233" s="1"/>
      <c r="Q233" s="1"/>
      <c r="R233" s="1"/>
      <c r="S233" s="1"/>
      <c r="T233" s="1"/>
      <c r="U233" s="1"/>
      <c r="V233" s="1"/>
      <c r="W233" s="1"/>
      <c r="X233" s="1"/>
      <c r="Y233" s="1" t="s">
        <v>690</v>
      </c>
      <c r="Z233" s="5"/>
    </row>
    <row r="234" spans="1:26" x14ac:dyDescent="0.3">
      <c r="A234" s="4"/>
      <c r="B234" s="1"/>
      <c r="C234" s="1"/>
      <c r="D234" s="1"/>
      <c r="E234" s="1"/>
      <c r="F234" s="1"/>
      <c r="G234" s="1"/>
      <c r="H234" s="6" t="str">
        <f>IFERROR(VLOOKUP(F234, Index!C:D, 2, FALSE), "")</f>
        <v/>
      </c>
      <c r="I234" s="2"/>
      <c r="J234" s="1"/>
      <c r="K234" s="1"/>
      <c r="L234" s="3"/>
      <c r="M234" s="3"/>
      <c r="N234" s="1" t="str">
        <f t="shared" si="4"/>
        <v/>
      </c>
      <c r="O234" s="3"/>
      <c r="P234" s="1"/>
      <c r="Q234" s="1"/>
      <c r="R234" s="1"/>
      <c r="S234" s="1"/>
      <c r="T234" s="1"/>
      <c r="U234" s="1"/>
      <c r="V234" s="1"/>
      <c r="W234" s="1"/>
      <c r="X234" s="1"/>
      <c r="Y234" s="1" t="s">
        <v>690</v>
      </c>
      <c r="Z234" s="5"/>
    </row>
    <row r="235" spans="1:26" x14ac:dyDescent="0.3">
      <c r="A235" s="4"/>
      <c r="B235" s="1"/>
      <c r="C235" s="1"/>
      <c r="D235" s="1"/>
      <c r="E235" s="1"/>
      <c r="F235" s="1"/>
      <c r="G235" s="1"/>
      <c r="H235" s="6" t="str">
        <f>IFERROR(VLOOKUP(F235, Index!C:D, 2, FALSE), "")</f>
        <v/>
      </c>
      <c r="I235" s="2"/>
      <c r="J235" s="1"/>
      <c r="K235" s="1"/>
      <c r="L235" s="3"/>
      <c r="M235" s="3"/>
      <c r="N235" s="1" t="str">
        <f t="shared" si="4"/>
        <v/>
      </c>
      <c r="O235" s="3"/>
      <c r="P235" s="1"/>
      <c r="Q235" s="1"/>
      <c r="R235" s="1"/>
      <c r="S235" s="1"/>
      <c r="T235" s="1"/>
      <c r="U235" s="1"/>
      <c r="V235" s="1"/>
      <c r="W235" s="1"/>
      <c r="X235" s="1"/>
      <c r="Y235" s="1" t="s">
        <v>690</v>
      </c>
      <c r="Z235" s="5"/>
    </row>
    <row r="236" spans="1:26" x14ac:dyDescent="0.3">
      <c r="A236" s="4"/>
      <c r="B236" s="1"/>
      <c r="C236" s="1"/>
      <c r="D236" s="1"/>
      <c r="E236" s="1"/>
      <c r="F236" s="1"/>
      <c r="G236" s="1"/>
      <c r="H236" s="6" t="str">
        <f>IFERROR(VLOOKUP(F236, Index!C:D, 2, FALSE), "")</f>
        <v/>
      </c>
      <c r="I236" s="2"/>
      <c r="J236" s="1"/>
      <c r="K236" s="1"/>
      <c r="L236" s="3"/>
      <c r="M236" s="3"/>
      <c r="N236" s="1" t="str">
        <f t="shared" si="4"/>
        <v/>
      </c>
      <c r="O236" s="3"/>
      <c r="P236" s="1"/>
      <c r="Q236" s="1"/>
      <c r="R236" s="1"/>
      <c r="S236" s="1"/>
      <c r="T236" s="1"/>
      <c r="U236" s="1"/>
      <c r="V236" s="1"/>
      <c r="W236" s="1"/>
      <c r="X236" s="1"/>
      <c r="Y236" s="1" t="s">
        <v>690</v>
      </c>
      <c r="Z236" s="5"/>
    </row>
    <row r="237" spans="1:26" x14ac:dyDescent="0.3">
      <c r="A237" s="4"/>
      <c r="B237" s="1"/>
      <c r="C237" s="1"/>
      <c r="D237" s="1"/>
      <c r="E237" s="1"/>
      <c r="F237" s="1"/>
      <c r="G237" s="1"/>
      <c r="H237" s="6" t="str">
        <f>IFERROR(VLOOKUP(F237, Index!C:D, 2, FALSE), "")</f>
        <v/>
      </c>
      <c r="I237" s="2"/>
      <c r="J237" s="1"/>
      <c r="K237" s="1"/>
      <c r="L237" s="3"/>
      <c r="M237" s="3"/>
      <c r="N237" s="1" t="str">
        <f t="shared" si="4"/>
        <v/>
      </c>
      <c r="O237" s="3"/>
      <c r="P237" s="1"/>
      <c r="Q237" s="1"/>
      <c r="R237" s="1"/>
      <c r="S237" s="1"/>
      <c r="T237" s="1"/>
      <c r="U237" s="1"/>
      <c r="V237" s="1"/>
      <c r="W237" s="1"/>
      <c r="X237" s="1"/>
      <c r="Y237" s="1" t="s">
        <v>690</v>
      </c>
      <c r="Z237" s="5"/>
    </row>
    <row r="238" spans="1:26" x14ac:dyDescent="0.3">
      <c r="A238" s="4"/>
      <c r="B238" s="1"/>
      <c r="C238" s="1"/>
      <c r="D238" s="1"/>
      <c r="E238" s="1"/>
      <c r="F238" s="1"/>
      <c r="G238" s="1"/>
      <c r="H238" s="6" t="str">
        <f>IFERROR(VLOOKUP(F238, Index!C:D, 2, FALSE), "")</f>
        <v/>
      </c>
      <c r="I238" s="2"/>
      <c r="J238" s="1"/>
      <c r="K238" s="1"/>
      <c r="L238" s="3"/>
      <c r="M238" s="3"/>
      <c r="N238" s="1" t="str">
        <f t="shared" si="4"/>
        <v/>
      </c>
      <c r="O238" s="3"/>
      <c r="P238" s="1"/>
      <c r="Q238" s="1"/>
      <c r="R238" s="1"/>
      <c r="S238" s="1"/>
      <c r="T238" s="1"/>
      <c r="U238" s="1"/>
      <c r="V238" s="1"/>
      <c r="W238" s="1"/>
      <c r="X238" s="1"/>
      <c r="Y238" s="1" t="s">
        <v>690</v>
      </c>
      <c r="Z238" s="5"/>
    </row>
    <row r="239" spans="1:26" x14ac:dyDescent="0.3">
      <c r="A239" s="4"/>
      <c r="B239" s="1"/>
      <c r="C239" s="1"/>
      <c r="D239" s="1"/>
      <c r="E239" s="1"/>
      <c r="F239" s="1"/>
      <c r="G239" s="1"/>
      <c r="H239" s="6" t="str">
        <f>IFERROR(VLOOKUP(F239, Index!C:D, 2, FALSE), "")</f>
        <v/>
      </c>
      <c r="I239" s="2"/>
      <c r="J239" s="1"/>
      <c r="K239" s="1"/>
      <c r="L239" s="3"/>
      <c r="M239" s="3"/>
      <c r="N239" s="1" t="str">
        <f t="shared" si="4"/>
        <v/>
      </c>
      <c r="O239" s="3"/>
      <c r="P239" s="1"/>
      <c r="Q239" s="1"/>
      <c r="R239" s="1"/>
      <c r="S239" s="1"/>
      <c r="T239" s="1"/>
      <c r="U239" s="1"/>
      <c r="V239" s="1"/>
      <c r="W239" s="1"/>
      <c r="X239" s="1"/>
      <c r="Y239" s="1" t="s">
        <v>690</v>
      </c>
      <c r="Z239" s="5"/>
    </row>
    <row r="240" spans="1:26" x14ac:dyDescent="0.3">
      <c r="A240" s="4"/>
      <c r="B240" s="1"/>
      <c r="C240" s="1"/>
      <c r="D240" s="1"/>
      <c r="E240" s="1"/>
      <c r="F240" s="1"/>
      <c r="G240" s="1"/>
      <c r="H240" s="6" t="str">
        <f>IFERROR(VLOOKUP(F240, Index!C:D, 2, FALSE), "")</f>
        <v/>
      </c>
      <c r="I240" s="2"/>
      <c r="J240" s="1"/>
      <c r="K240" s="1"/>
      <c r="L240" s="3"/>
      <c r="M240" s="3"/>
      <c r="N240" s="1" t="str">
        <f t="shared" si="4"/>
        <v/>
      </c>
      <c r="O240" s="3"/>
      <c r="P240" s="1"/>
      <c r="Q240" s="1"/>
      <c r="R240" s="1"/>
      <c r="S240" s="1"/>
      <c r="T240" s="1"/>
      <c r="U240" s="1"/>
      <c r="V240" s="1"/>
      <c r="W240" s="1"/>
      <c r="X240" s="1"/>
      <c r="Y240" s="1" t="s">
        <v>690</v>
      </c>
      <c r="Z240" s="5"/>
    </row>
    <row r="241" spans="1:26" x14ac:dyDescent="0.3">
      <c r="A241" s="4"/>
      <c r="B241" s="1"/>
      <c r="C241" s="1"/>
      <c r="D241" s="1"/>
      <c r="E241" s="1"/>
      <c r="F241" s="1"/>
      <c r="G241" s="1"/>
      <c r="H241" s="6" t="str">
        <f>IFERROR(VLOOKUP(F241, Index!C:D, 2, FALSE), "")</f>
        <v/>
      </c>
      <c r="I241" s="2"/>
      <c r="J241" s="1"/>
      <c r="K241" s="1"/>
      <c r="L241" s="3"/>
      <c r="M241" s="3"/>
      <c r="N241" s="1" t="str">
        <f t="shared" si="4"/>
        <v/>
      </c>
      <c r="O241" s="3"/>
      <c r="P241" s="1"/>
      <c r="Q241" s="1"/>
      <c r="R241" s="1"/>
      <c r="S241" s="1"/>
      <c r="T241" s="1"/>
      <c r="U241" s="1"/>
      <c r="V241" s="1"/>
      <c r="W241" s="1"/>
      <c r="X241" s="1"/>
      <c r="Y241" s="1" t="s">
        <v>690</v>
      </c>
      <c r="Z241" s="5"/>
    </row>
    <row r="242" spans="1:26" x14ac:dyDescent="0.3">
      <c r="A242" s="4"/>
      <c r="B242" s="1"/>
      <c r="C242" s="1"/>
      <c r="D242" s="1"/>
      <c r="E242" s="1"/>
      <c r="F242" s="1"/>
      <c r="G242" s="1"/>
      <c r="H242" s="6" t="str">
        <f>IFERROR(VLOOKUP(F242, Index!C:D, 2, FALSE), "")</f>
        <v/>
      </c>
      <c r="I242" s="2"/>
      <c r="J242" s="1"/>
      <c r="K242" s="1"/>
      <c r="L242" s="3"/>
      <c r="M242" s="3"/>
      <c r="N242" s="1" t="str">
        <f t="shared" si="4"/>
        <v/>
      </c>
      <c r="O242" s="3"/>
      <c r="P242" s="1"/>
      <c r="Q242" s="1"/>
      <c r="R242" s="1"/>
      <c r="S242" s="1"/>
      <c r="T242" s="1"/>
      <c r="U242" s="1"/>
      <c r="V242" s="1"/>
      <c r="W242" s="1"/>
      <c r="X242" s="1"/>
      <c r="Y242" s="1" t="s">
        <v>690</v>
      </c>
      <c r="Z242" s="5"/>
    </row>
    <row r="243" spans="1:26" x14ac:dyDescent="0.3">
      <c r="A243" s="4"/>
      <c r="B243" s="1"/>
      <c r="C243" s="1"/>
      <c r="D243" s="1"/>
      <c r="E243" s="1"/>
      <c r="F243" s="1"/>
      <c r="G243" s="1"/>
      <c r="H243" s="6" t="str">
        <f>IFERROR(VLOOKUP(F243, Index!C:D, 2, FALSE), "")</f>
        <v/>
      </c>
      <c r="I243" s="2"/>
      <c r="J243" s="1"/>
      <c r="K243" s="1"/>
      <c r="L243" s="3"/>
      <c r="M243" s="3"/>
      <c r="N243" s="1" t="str">
        <f t="shared" si="4"/>
        <v/>
      </c>
      <c r="O243" s="3"/>
      <c r="P243" s="1"/>
      <c r="Q243" s="1"/>
      <c r="R243" s="1"/>
      <c r="S243" s="1"/>
      <c r="T243" s="1"/>
      <c r="U243" s="1"/>
      <c r="V243" s="1"/>
      <c r="W243" s="1"/>
      <c r="X243" s="1"/>
      <c r="Y243" s="1" t="s">
        <v>690</v>
      </c>
      <c r="Z243" s="5"/>
    </row>
    <row r="244" spans="1:26" x14ac:dyDescent="0.3">
      <c r="A244" s="4"/>
      <c r="B244" s="1"/>
      <c r="C244" s="1"/>
      <c r="D244" s="1"/>
      <c r="E244" s="1"/>
      <c r="F244" s="1"/>
      <c r="G244" s="1"/>
      <c r="H244" s="6" t="str">
        <f>IFERROR(VLOOKUP(F244, Index!C:D, 2, FALSE), "")</f>
        <v/>
      </c>
      <c r="I244" s="2"/>
      <c r="J244" s="1"/>
      <c r="K244" s="1"/>
      <c r="L244" s="3"/>
      <c r="M244" s="3"/>
      <c r="N244" s="1" t="str">
        <f t="shared" si="4"/>
        <v/>
      </c>
      <c r="O244" s="3"/>
      <c r="P244" s="1"/>
      <c r="Q244" s="1"/>
      <c r="R244" s="1"/>
      <c r="S244" s="1"/>
      <c r="T244" s="1"/>
      <c r="U244" s="1"/>
      <c r="V244" s="1"/>
      <c r="W244" s="1"/>
      <c r="X244" s="1"/>
      <c r="Y244" s="1" t="s">
        <v>690</v>
      </c>
      <c r="Z244" s="5"/>
    </row>
    <row r="245" spans="1:26" x14ac:dyDescent="0.3">
      <c r="A245" s="4"/>
      <c r="B245" s="1"/>
      <c r="C245" s="1"/>
      <c r="D245" s="1"/>
      <c r="E245" s="1"/>
      <c r="F245" s="1"/>
      <c r="G245" s="1"/>
      <c r="H245" s="6" t="str">
        <f>IFERROR(VLOOKUP(F245, Index!C:D, 2, FALSE), "")</f>
        <v/>
      </c>
      <c r="I245" s="2"/>
      <c r="J245" s="1"/>
      <c r="K245" s="1"/>
      <c r="L245" s="3"/>
      <c r="M245" s="3"/>
      <c r="N245" s="1" t="str">
        <f t="shared" si="4"/>
        <v/>
      </c>
      <c r="O245" s="3"/>
      <c r="P245" s="1"/>
      <c r="Q245" s="1"/>
      <c r="R245" s="1"/>
      <c r="S245" s="1"/>
      <c r="T245" s="1"/>
      <c r="U245" s="1"/>
      <c r="V245" s="1"/>
      <c r="W245" s="1"/>
      <c r="X245" s="1"/>
      <c r="Y245" s="1" t="s">
        <v>690</v>
      </c>
      <c r="Z245" s="5"/>
    </row>
    <row r="246" spans="1:26" x14ac:dyDescent="0.3">
      <c r="A246" s="4"/>
      <c r="B246" s="1"/>
      <c r="C246" s="1"/>
      <c r="D246" s="1"/>
      <c r="E246" s="1"/>
      <c r="F246" s="1"/>
      <c r="G246" s="1"/>
      <c r="H246" s="6" t="str">
        <f>IFERROR(VLOOKUP(F246, Index!C:D, 2, FALSE), "")</f>
        <v/>
      </c>
      <c r="I246" s="2"/>
      <c r="J246" s="1"/>
      <c r="K246" s="1"/>
      <c r="L246" s="3"/>
      <c r="M246" s="3"/>
      <c r="N246" s="1" t="str">
        <f t="shared" si="4"/>
        <v/>
      </c>
      <c r="O246" s="3"/>
      <c r="P246" s="1"/>
      <c r="Q246" s="1"/>
      <c r="R246" s="1"/>
      <c r="S246" s="1"/>
      <c r="T246" s="1"/>
      <c r="U246" s="1"/>
      <c r="V246" s="1"/>
      <c r="W246" s="1"/>
      <c r="X246" s="1"/>
      <c r="Y246" s="1" t="s">
        <v>690</v>
      </c>
      <c r="Z246" s="5"/>
    </row>
    <row r="247" spans="1:26" x14ac:dyDescent="0.3">
      <c r="A247" s="4"/>
      <c r="B247" s="1"/>
      <c r="C247" s="1"/>
      <c r="D247" s="1"/>
      <c r="E247" s="1"/>
      <c r="F247" s="1"/>
      <c r="G247" s="1"/>
      <c r="H247" s="6" t="str">
        <f>IFERROR(VLOOKUP(F247, Index!C:D, 2, FALSE), "")</f>
        <v/>
      </c>
      <c r="I247" s="2"/>
      <c r="J247" s="1"/>
      <c r="K247" s="1"/>
      <c r="L247" s="3"/>
      <c r="M247" s="3"/>
      <c r="N247" s="1" t="str">
        <f t="shared" si="4"/>
        <v/>
      </c>
      <c r="O247" s="3"/>
      <c r="P247" s="1"/>
      <c r="Q247" s="1"/>
      <c r="R247" s="1"/>
      <c r="S247" s="1"/>
      <c r="T247" s="1"/>
      <c r="U247" s="1"/>
      <c r="V247" s="1"/>
      <c r="W247" s="1"/>
      <c r="X247" s="1"/>
      <c r="Y247" s="1" t="s">
        <v>690</v>
      </c>
      <c r="Z247" s="5"/>
    </row>
    <row r="248" spans="1:26" x14ac:dyDescent="0.3">
      <c r="A248" s="4"/>
      <c r="B248" s="1"/>
      <c r="C248" s="1"/>
      <c r="D248" s="1"/>
      <c r="E248" s="1"/>
      <c r="F248" s="1"/>
      <c r="G248" s="1"/>
      <c r="H248" s="6" t="str">
        <f>IFERROR(VLOOKUP(F248, Index!C:D, 2, FALSE), "")</f>
        <v/>
      </c>
      <c r="I248" s="2"/>
      <c r="J248" s="1"/>
      <c r="K248" s="1"/>
      <c r="L248" s="3"/>
      <c r="M248" s="3"/>
      <c r="N248" s="1" t="str">
        <f t="shared" si="4"/>
        <v/>
      </c>
      <c r="O248" s="3"/>
      <c r="P248" s="1"/>
      <c r="Q248" s="1"/>
      <c r="R248" s="1"/>
      <c r="S248" s="1"/>
      <c r="T248" s="1"/>
      <c r="U248" s="1"/>
      <c r="V248" s="1"/>
      <c r="W248" s="1"/>
      <c r="X248" s="1"/>
      <c r="Y248" s="1" t="s">
        <v>690</v>
      </c>
      <c r="Z248" s="5"/>
    </row>
    <row r="249" spans="1:26" x14ac:dyDescent="0.3">
      <c r="A249" s="4"/>
      <c r="B249" s="1"/>
      <c r="C249" s="1"/>
      <c r="D249" s="1"/>
      <c r="E249" s="1"/>
      <c r="F249" s="1"/>
      <c r="G249" s="1"/>
      <c r="H249" s="6" t="str">
        <f>IFERROR(VLOOKUP(F249, Index!C:D, 2, FALSE), "")</f>
        <v/>
      </c>
      <c r="I249" s="2"/>
      <c r="J249" s="1"/>
      <c r="K249" s="1"/>
      <c r="L249" s="3"/>
      <c r="M249" s="3"/>
      <c r="N249" s="1" t="str">
        <f t="shared" si="4"/>
        <v/>
      </c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 t="s">
        <v>690</v>
      </c>
      <c r="Z249" s="5"/>
    </row>
    <row r="250" spans="1:26" x14ac:dyDescent="0.3">
      <c r="A250" s="4"/>
      <c r="B250" s="1"/>
      <c r="C250" s="1"/>
      <c r="D250" s="1"/>
      <c r="E250" s="1"/>
      <c r="F250" s="1"/>
      <c r="G250" s="1"/>
      <c r="H250" s="6" t="str">
        <f>IFERROR(VLOOKUP(F250, Index!C:D, 2, FALSE), "")</f>
        <v/>
      </c>
      <c r="I250" s="2"/>
      <c r="J250" s="1"/>
      <c r="K250" s="1"/>
      <c r="L250" s="3"/>
      <c r="M250" s="3"/>
      <c r="N250" s="1" t="str">
        <f t="shared" si="4"/>
        <v/>
      </c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 t="s">
        <v>690</v>
      </c>
      <c r="Z250" s="5"/>
    </row>
    <row r="251" spans="1:26" x14ac:dyDescent="0.3">
      <c r="A251" s="4"/>
      <c r="B251" s="1"/>
      <c r="C251" s="1"/>
      <c r="D251" s="1"/>
      <c r="E251" s="1"/>
      <c r="F251" s="1"/>
      <c r="G251" s="1"/>
      <c r="H251" s="6" t="str">
        <f>IFERROR(VLOOKUP(F251, Index!C:D, 2, FALSE), "")</f>
        <v/>
      </c>
      <c r="I251" s="2"/>
      <c r="J251" s="1"/>
      <c r="K251" s="1"/>
      <c r="L251" s="3"/>
      <c r="M251" s="3"/>
      <c r="N251" s="1" t="str">
        <f t="shared" si="4"/>
        <v/>
      </c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 t="s">
        <v>690</v>
      </c>
      <c r="Z251" s="5"/>
    </row>
    <row r="252" spans="1:26" x14ac:dyDescent="0.3">
      <c r="A252" s="4"/>
      <c r="B252" s="1"/>
      <c r="C252" s="1"/>
      <c r="D252" s="1"/>
      <c r="E252" s="1"/>
      <c r="F252" s="1"/>
      <c r="G252" s="1"/>
      <c r="H252" s="6" t="str">
        <f>IFERROR(VLOOKUP(F252, Index!C:D, 2, FALSE), "")</f>
        <v/>
      </c>
      <c r="I252" s="2"/>
      <c r="J252" s="1"/>
      <c r="K252" s="1"/>
      <c r="L252" s="3"/>
      <c r="M252" s="3"/>
      <c r="N252" s="1" t="str">
        <f t="shared" si="4"/>
        <v/>
      </c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 t="s">
        <v>690</v>
      </c>
      <c r="Z252" s="5"/>
    </row>
    <row r="253" spans="1:26" x14ac:dyDescent="0.3">
      <c r="A253" s="4"/>
      <c r="B253" s="1"/>
      <c r="C253" s="1"/>
      <c r="D253" s="1"/>
      <c r="E253" s="1"/>
      <c r="F253" s="1"/>
      <c r="G253" s="1"/>
      <c r="H253" s="6" t="str">
        <f>IFERROR(VLOOKUP(F253, Index!C:D, 2, FALSE), "")</f>
        <v/>
      </c>
      <c r="I253" s="2"/>
      <c r="J253" s="1"/>
      <c r="K253" s="1"/>
      <c r="L253" s="3"/>
      <c r="M253" s="3"/>
      <c r="N253" s="1" t="str">
        <f t="shared" si="4"/>
        <v/>
      </c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 t="s">
        <v>690</v>
      </c>
      <c r="Z253" s="5"/>
    </row>
    <row r="254" spans="1:26" x14ac:dyDescent="0.3">
      <c r="A254" s="4"/>
      <c r="B254" s="1"/>
      <c r="C254" s="1"/>
      <c r="D254" s="1"/>
      <c r="E254" s="1"/>
      <c r="F254" s="1"/>
      <c r="G254" s="1"/>
      <c r="H254" s="6" t="str">
        <f>IFERROR(VLOOKUP(F254, Index!C:D, 2, FALSE), "")</f>
        <v/>
      </c>
      <c r="I254" s="2"/>
      <c r="J254" s="1"/>
      <c r="K254" s="1"/>
      <c r="L254" s="3"/>
      <c r="M254" s="3"/>
      <c r="N254" s="1" t="str">
        <f t="shared" si="4"/>
        <v/>
      </c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 t="s">
        <v>690</v>
      </c>
      <c r="Z254" s="5"/>
    </row>
    <row r="255" spans="1:26" x14ac:dyDescent="0.3">
      <c r="A255" s="4"/>
      <c r="B255" s="1"/>
      <c r="C255" s="1"/>
      <c r="D255" s="1"/>
      <c r="E255" s="1"/>
      <c r="F255" s="1"/>
      <c r="G255" s="1"/>
      <c r="H255" s="6" t="str">
        <f>IFERROR(VLOOKUP(F255, Index!C:D, 2, FALSE), "")</f>
        <v/>
      </c>
      <c r="I255" s="2"/>
      <c r="J255" s="1"/>
      <c r="K255" s="1"/>
      <c r="L255" s="3"/>
      <c r="M255" s="3"/>
      <c r="N255" s="1" t="str">
        <f t="shared" si="4"/>
        <v/>
      </c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 t="s">
        <v>690</v>
      </c>
      <c r="Z255" s="5"/>
    </row>
    <row r="256" spans="1:26" x14ac:dyDescent="0.3">
      <c r="A256" s="4"/>
      <c r="B256" s="1"/>
      <c r="C256" s="1"/>
      <c r="D256" s="1"/>
      <c r="E256" s="1"/>
      <c r="F256" s="1"/>
      <c r="G256" s="1"/>
      <c r="H256" s="6" t="str">
        <f>IFERROR(VLOOKUP(F256, Index!C:D, 2, FALSE), "")</f>
        <v/>
      </c>
      <c r="I256" s="2"/>
      <c r="J256" s="1"/>
      <c r="K256" s="1"/>
      <c r="L256" s="3"/>
      <c r="M256" s="3"/>
      <c r="N256" s="1" t="str">
        <f t="shared" ref="N256:N319" si="5">IF(OR(L256="", M256=""), "", IF(L256=M256, 1, M256 - L256))</f>
        <v/>
      </c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 t="s">
        <v>690</v>
      </c>
      <c r="Z256" s="5"/>
    </row>
    <row r="257" spans="1:26" x14ac:dyDescent="0.3">
      <c r="A257" s="4"/>
      <c r="B257" s="1"/>
      <c r="C257" s="1"/>
      <c r="D257" s="1"/>
      <c r="E257" s="1"/>
      <c r="F257" s="1"/>
      <c r="G257" s="1"/>
      <c r="H257" s="6" t="str">
        <f>IFERROR(VLOOKUP(F257, Index!C:D, 2, FALSE), "")</f>
        <v/>
      </c>
      <c r="I257" s="2"/>
      <c r="J257" s="1"/>
      <c r="K257" s="1"/>
      <c r="L257" s="3"/>
      <c r="M257" s="3"/>
      <c r="N257" s="1" t="str">
        <f t="shared" si="5"/>
        <v/>
      </c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 t="s">
        <v>690</v>
      </c>
      <c r="Z257" s="5"/>
    </row>
    <row r="258" spans="1:26" x14ac:dyDescent="0.3">
      <c r="A258" s="4"/>
      <c r="B258" s="1"/>
      <c r="C258" s="1"/>
      <c r="D258" s="1"/>
      <c r="E258" s="1"/>
      <c r="F258" s="1"/>
      <c r="G258" s="1"/>
      <c r="H258" s="6" t="str">
        <f>IFERROR(VLOOKUP(F258, Index!C:D, 2, FALSE), "")</f>
        <v/>
      </c>
      <c r="I258" s="2"/>
      <c r="J258" s="1"/>
      <c r="K258" s="1"/>
      <c r="L258" s="3"/>
      <c r="M258" s="3"/>
      <c r="N258" s="1" t="str">
        <f t="shared" si="5"/>
        <v/>
      </c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 t="s">
        <v>690</v>
      </c>
      <c r="Z258" s="5"/>
    </row>
    <row r="259" spans="1:26" x14ac:dyDescent="0.3">
      <c r="A259" s="4"/>
      <c r="B259" s="1"/>
      <c r="C259" s="1"/>
      <c r="D259" s="1"/>
      <c r="E259" s="1"/>
      <c r="F259" s="1"/>
      <c r="G259" s="1"/>
      <c r="H259" s="6" t="str">
        <f>IFERROR(VLOOKUP(F259, Index!C:D, 2, FALSE), "")</f>
        <v/>
      </c>
      <c r="I259" s="2"/>
      <c r="J259" s="1"/>
      <c r="K259" s="1"/>
      <c r="L259" s="3"/>
      <c r="M259" s="3"/>
      <c r="N259" s="1" t="str">
        <f t="shared" si="5"/>
        <v/>
      </c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 t="s">
        <v>690</v>
      </c>
      <c r="Z259" s="5"/>
    </row>
    <row r="260" spans="1:26" x14ac:dyDescent="0.3">
      <c r="A260" s="4"/>
      <c r="B260" s="1"/>
      <c r="C260" s="1"/>
      <c r="D260" s="1"/>
      <c r="E260" s="1"/>
      <c r="F260" s="1"/>
      <c r="G260" s="1"/>
      <c r="H260" s="6" t="str">
        <f>IFERROR(VLOOKUP(F260, Index!C:D, 2, FALSE), "")</f>
        <v/>
      </c>
      <c r="I260" s="2"/>
      <c r="J260" s="1"/>
      <c r="K260" s="1"/>
      <c r="L260" s="3"/>
      <c r="M260" s="3"/>
      <c r="N260" s="1" t="str">
        <f t="shared" si="5"/>
        <v/>
      </c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 t="s">
        <v>690</v>
      </c>
      <c r="Z260" s="5"/>
    </row>
    <row r="261" spans="1:26" x14ac:dyDescent="0.3">
      <c r="A261" s="4"/>
      <c r="B261" s="1"/>
      <c r="C261" s="1"/>
      <c r="D261" s="1"/>
      <c r="E261" s="1"/>
      <c r="F261" s="1"/>
      <c r="G261" s="1"/>
      <c r="H261" s="6" t="str">
        <f>IFERROR(VLOOKUP(F261, Index!C:D, 2, FALSE), "")</f>
        <v/>
      </c>
      <c r="I261" s="2"/>
      <c r="J261" s="1"/>
      <c r="K261" s="1"/>
      <c r="L261" s="3"/>
      <c r="M261" s="3"/>
      <c r="N261" s="1" t="str">
        <f t="shared" si="5"/>
        <v/>
      </c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 t="s">
        <v>690</v>
      </c>
      <c r="Z261" s="5"/>
    </row>
    <row r="262" spans="1:26" x14ac:dyDescent="0.3">
      <c r="A262" s="4"/>
      <c r="B262" s="1"/>
      <c r="C262" s="1"/>
      <c r="D262" s="1"/>
      <c r="E262" s="1"/>
      <c r="F262" s="1"/>
      <c r="G262" s="1"/>
      <c r="H262" s="6" t="str">
        <f>IFERROR(VLOOKUP(F262, Index!C:D, 2, FALSE), "")</f>
        <v/>
      </c>
      <c r="I262" s="2"/>
      <c r="J262" s="1"/>
      <c r="K262" s="1"/>
      <c r="L262" s="3"/>
      <c r="M262" s="3"/>
      <c r="N262" s="1" t="str">
        <f t="shared" si="5"/>
        <v/>
      </c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 t="s">
        <v>690</v>
      </c>
      <c r="Z262" s="5"/>
    </row>
    <row r="263" spans="1:26" x14ac:dyDescent="0.3">
      <c r="A263" s="4"/>
      <c r="B263" s="1"/>
      <c r="C263" s="1"/>
      <c r="D263" s="1"/>
      <c r="E263" s="1"/>
      <c r="F263" s="1"/>
      <c r="G263" s="1"/>
      <c r="H263" s="6" t="str">
        <f>IFERROR(VLOOKUP(F263, Index!C:D, 2, FALSE), "")</f>
        <v/>
      </c>
      <c r="I263" s="2"/>
      <c r="J263" s="1"/>
      <c r="K263" s="1"/>
      <c r="L263" s="3"/>
      <c r="M263" s="3"/>
      <c r="N263" s="1" t="str">
        <f t="shared" si="5"/>
        <v/>
      </c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 t="s">
        <v>690</v>
      </c>
      <c r="Z263" s="5"/>
    </row>
    <row r="264" spans="1:26" x14ac:dyDescent="0.3">
      <c r="A264" s="4"/>
      <c r="B264" s="1"/>
      <c r="C264" s="1"/>
      <c r="D264" s="1"/>
      <c r="E264" s="1"/>
      <c r="F264" s="1"/>
      <c r="G264" s="1"/>
      <c r="H264" s="6" t="str">
        <f>IFERROR(VLOOKUP(F264, Index!C:D, 2, FALSE), "")</f>
        <v/>
      </c>
      <c r="I264" s="2"/>
      <c r="J264" s="1"/>
      <c r="K264" s="1"/>
      <c r="L264" s="3"/>
      <c r="M264" s="3"/>
      <c r="N264" s="1" t="str">
        <f t="shared" si="5"/>
        <v/>
      </c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 t="s">
        <v>690</v>
      </c>
      <c r="Z264" s="5"/>
    </row>
    <row r="265" spans="1:26" x14ac:dyDescent="0.3">
      <c r="A265" s="4"/>
      <c r="B265" s="1"/>
      <c r="C265" s="1"/>
      <c r="D265" s="1"/>
      <c r="E265" s="1"/>
      <c r="F265" s="1"/>
      <c r="G265" s="1"/>
      <c r="H265" s="6" t="str">
        <f>IFERROR(VLOOKUP(F265, Index!C:D, 2, FALSE), "")</f>
        <v/>
      </c>
      <c r="I265" s="2"/>
      <c r="J265" s="1"/>
      <c r="K265" s="1"/>
      <c r="L265" s="3"/>
      <c r="M265" s="3"/>
      <c r="N265" s="1" t="str">
        <f t="shared" si="5"/>
        <v/>
      </c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 t="s">
        <v>690</v>
      </c>
      <c r="Z265" s="5"/>
    </row>
    <row r="266" spans="1:26" x14ac:dyDescent="0.3">
      <c r="A266" s="4"/>
      <c r="B266" s="1"/>
      <c r="C266" s="1"/>
      <c r="D266" s="1"/>
      <c r="E266" s="1"/>
      <c r="F266" s="1"/>
      <c r="G266" s="1"/>
      <c r="H266" s="6" t="str">
        <f>IFERROR(VLOOKUP(F266, Index!C:D, 2, FALSE), "")</f>
        <v/>
      </c>
      <c r="I266" s="2"/>
      <c r="J266" s="1"/>
      <c r="K266" s="1"/>
      <c r="L266" s="3"/>
      <c r="M266" s="3"/>
      <c r="N266" s="1" t="str">
        <f t="shared" si="5"/>
        <v/>
      </c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 t="s">
        <v>690</v>
      </c>
      <c r="Z266" s="5"/>
    </row>
    <row r="267" spans="1:26" x14ac:dyDescent="0.3">
      <c r="A267" s="4"/>
      <c r="B267" s="1"/>
      <c r="C267" s="1"/>
      <c r="D267" s="1"/>
      <c r="E267" s="1"/>
      <c r="F267" s="1"/>
      <c r="G267" s="1"/>
      <c r="H267" s="6" t="str">
        <f>IFERROR(VLOOKUP(F267, Index!C:D, 2, FALSE), "")</f>
        <v/>
      </c>
      <c r="I267" s="2"/>
      <c r="J267" s="1"/>
      <c r="K267" s="1"/>
      <c r="L267" s="3"/>
      <c r="M267" s="3"/>
      <c r="N267" s="1" t="str">
        <f t="shared" si="5"/>
        <v/>
      </c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 t="s">
        <v>690</v>
      </c>
      <c r="Z267" s="5"/>
    </row>
    <row r="268" spans="1:26" x14ac:dyDescent="0.3">
      <c r="A268" s="4"/>
      <c r="B268" s="1"/>
      <c r="C268" s="1"/>
      <c r="D268" s="1"/>
      <c r="E268" s="1"/>
      <c r="F268" s="1"/>
      <c r="G268" s="1"/>
      <c r="H268" s="6" t="str">
        <f>IFERROR(VLOOKUP(F268, Index!C:D, 2, FALSE), "")</f>
        <v/>
      </c>
      <c r="I268" s="2"/>
      <c r="J268" s="1"/>
      <c r="K268" s="1"/>
      <c r="L268" s="3"/>
      <c r="M268" s="3"/>
      <c r="N268" s="1" t="str">
        <f t="shared" si="5"/>
        <v/>
      </c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 t="s">
        <v>690</v>
      </c>
      <c r="Z268" s="5"/>
    </row>
    <row r="269" spans="1:26" x14ac:dyDescent="0.3">
      <c r="A269" s="4"/>
      <c r="B269" s="1"/>
      <c r="C269" s="1"/>
      <c r="D269" s="1"/>
      <c r="E269" s="1"/>
      <c r="F269" s="1"/>
      <c r="G269" s="1"/>
      <c r="H269" s="6" t="str">
        <f>IFERROR(VLOOKUP(F269, Index!C:D, 2, FALSE), "")</f>
        <v/>
      </c>
      <c r="I269" s="2"/>
      <c r="J269" s="1"/>
      <c r="K269" s="1"/>
      <c r="L269" s="3"/>
      <c r="M269" s="3"/>
      <c r="N269" s="1" t="str">
        <f t="shared" si="5"/>
        <v/>
      </c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 t="s">
        <v>690</v>
      </c>
      <c r="Z269" s="5"/>
    </row>
    <row r="270" spans="1:26" x14ac:dyDescent="0.3">
      <c r="A270" s="4"/>
      <c r="B270" s="1"/>
      <c r="C270" s="1"/>
      <c r="D270" s="1"/>
      <c r="E270" s="1"/>
      <c r="F270" s="1"/>
      <c r="G270" s="1"/>
      <c r="H270" s="6" t="str">
        <f>IFERROR(VLOOKUP(F270, Index!C:D, 2, FALSE), "")</f>
        <v/>
      </c>
      <c r="I270" s="2"/>
      <c r="J270" s="1"/>
      <c r="K270" s="1"/>
      <c r="L270" s="3"/>
      <c r="M270" s="3"/>
      <c r="N270" s="1" t="str">
        <f t="shared" si="5"/>
        <v/>
      </c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 t="s">
        <v>690</v>
      </c>
      <c r="Z270" s="5"/>
    </row>
    <row r="271" spans="1:26" x14ac:dyDescent="0.3">
      <c r="A271" s="4"/>
      <c r="B271" s="1"/>
      <c r="C271" s="1"/>
      <c r="D271" s="1"/>
      <c r="E271" s="1"/>
      <c r="F271" s="1"/>
      <c r="G271" s="1"/>
      <c r="H271" s="6" t="str">
        <f>IFERROR(VLOOKUP(F271, Index!C:D, 2, FALSE), "")</f>
        <v/>
      </c>
      <c r="I271" s="2"/>
      <c r="J271" s="1"/>
      <c r="K271" s="1"/>
      <c r="L271" s="3"/>
      <c r="M271" s="3"/>
      <c r="N271" s="1" t="str">
        <f t="shared" si="5"/>
        <v/>
      </c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 t="s">
        <v>690</v>
      </c>
      <c r="Z271" s="5"/>
    </row>
    <row r="272" spans="1:26" x14ac:dyDescent="0.3">
      <c r="A272" s="4"/>
      <c r="B272" s="1"/>
      <c r="C272" s="1"/>
      <c r="D272" s="1"/>
      <c r="E272" s="1"/>
      <c r="F272" s="1"/>
      <c r="G272" s="1"/>
      <c r="H272" s="6" t="str">
        <f>IFERROR(VLOOKUP(F272, Index!C:D, 2, FALSE), "")</f>
        <v/>
      </c>
      <c r="I272" s="2"/>
      <c r="J272" s="1"/>
      <c r="K272" s="1"/>
      <c r="L272" s="3"/>
      <c r="M272" s="3"/>
      <c r="N272" s="1" t="str">
        <f t="shared" si="5"/>
        <v/>
      </c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 t="s">
        <v>690</v>
      </c>
      <c r="Z272" s="5"/>
    </row>
    <row r="273" spans="1:26" x14ac:dyDescent="0.3">
      <c r="A273" s="4"/>
      <c r="B273" s="1"/>
      <c r="C273" s="1"/>
      <c r="D273" s="1"/>
      <c r="E273" s="1"/>
      <c r="F273" s="1"/>
      <c r="G273" s="1"/>
      <c r="H273" s="6" t="str">
        <f>IFERROR(VLOOKUP(F273, Index!C:D, 2, FALSE), "")</f>
        <v/>
      </c>
      <c r="I273" s="2"/>
      <c r="J273" s="1"/>
      <c r="K273" s="1"/>
      <c r="L273" s="3"/>
      <c r="M273" s="3"/>
      <c r="N273" s="1" t="str">
        <f t="shared" si="5"/>
        <v/>
      </c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 t="s">
        <v>690</v>
      </c>
      <c r="Z273" s="5"/>
    </row>
    <row r="274" spans="1:26" x14ac:dyDescent="0.3">
      <c r="A274" s="4"/>
      <c r="B274" s="1"/>
      <c r="C274" s="1"/>
      <c r="D274" s="1"/>
      <c r="E274" s="1"/>
      <c r="F274" s="1"/>
      <c r="G274" s="1"/>
      <c r="H274" s="6" t="str">
        <f>IFERROR(VLOOKUP(F274, Index!C:D, 2, FALSE), "")</f>
        <v/>
      </c>
      <c r="I274" s="2"/>
      <c r="J274" s="1"/>
      <c r="K274" s="1"/>
      <c r="L274" s="3"/>
      <c r="M274" s="3"/>
      <c r="N274" s="1" t="str">
        <f t="shared" si="5"/>
        <v/>
      </c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 t="s">
        <v>690</v>
      </c>
      <c r="Z274" s="5"/>
    </row>
    <row r="275" spans="1:26" x14ac:dyDescent="0.3">
      <c r="A275" s="4"/>
      <c r="B275" s="1"/>
      <c r="C275" s="1"/>
      <c r="D275" s="1"/>
      <c r="E275" s="1"/>
      <c r="F275" s="1"/>
      <c r="G275" s="1"/>
      <c r="H275" s="6" t="str">
        <f>IFERROR(VLOOKUP(F275, Index!C:D, 2, FALSE), "")</f>
        <v/>
      </c>
      <c r="I275" s="2"/>
      <c r="J275" s="1"/>
      <c r="K275" s="1"/>
      <c r="L275" s="3"/>
      <c r="M275" s="3"/>
      <c r="N275" s="1" t="str">
        <f t="shared" si="5"/>
        <v/>
      </c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 t="s">
        <v>690</v>
      </c>
      <c r="Z275" s="5"/>
    </row>
    <row r="276" spans="1:26" x14ac:dyDescent="0.3">
      <c r="A276" s="4"/>
      <c r="B276" s="1"/>
      <c r="C276" s="1"/>
      <c r="D276" s="1"/>
      <c r="E276" s="1"/>
      <c r="F276" s="1"/>
      <c r="G276" s="1"/>
      <c r="H276" s="6" t="str">
        <f>IFERROR(VLOOKUP(F276, Index!C:D, 2, FALSE), "")</f>
        <v/>
      </c>
      <c r="I276" s="2"/>
      <c r="J276" s="1"/>
      <c r="K276" s="1"/>
      <c r="L276" s="3"/>
      <c r="M276" s="3"/>
      <c r="N276" s="1" t="str">
        <f t="shared" si="5"/>
        <v/>
      </c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 t="s">
        <v>690</v>
      </c>
      <c r="Z276" s="5"/>
    </row>
    <row r="277" spans="1:26" x14ac:dyDescent="0.3">
      <c r="A277" s="4"/>
      <c r="B277" s="1"/>
      <c r="C277" s="1"/>
      <c r="D277" s="1"/>
      <c r="E277" s="1"/>
      <c r="F277" s="1"/>
      <c r="G277" s="1"/>
      <c r="H277" s="6" t="str">
        <f>IFERROR(VLOOKUP(F277, Index!C:D, 2, FALSE), "")</f>
        <v/>
      </c>
      <c r="I277" s="2"/>
      <c r="J277" s="1"/>
      <c r="K277" s="1"/>
      <c r="L277" s="3"/>
      <c r="M277" s="3"/>
      <c r="N277" s="1" t="str">
        <f t="shared" si="5"/>
        <v/>
      </c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 t="s">
        <v>690</v>
      </c>
      <c r="Z277" s="5"/>
    </row>
    <row r="278" spans="1:26" x14ac:dyDescent="0.3">
      <c r="A278" s="4"/>
      <c r="B278" s="1"/>
      <c r="C278" s="1"/>
      <c r="D278" s="1"/>
      <c r="E278" s="1"/>
      <c r="F278" s="1"/>
      <c r="G278" s="1"/>
      <c r="H278" s="6" t="str">
        <f>IFERROR(VLOOKUP(F278, Index!C:D, 2, FALSE), "")</f>
        <v/>
      </c>
      <c r="I278" s="2"/>
      <c r="J278" s="1"/>
      <c r="K278" s="1"/>
      <c r="L278" s="3"/>
      <c r="M278" s="3"/>
      <c r="N278" s="1" t="str">
        <f t="shared" si="5"/>
        <v/>
      </c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 t="s">
        <v>690</v>
      </c>
      <c r="Z278" s="5"/>
    </row>
    <row r="279" spans="1:26" x14ac:dyDescent="0.3">
      <c r="A279" s="4"/>
      <c r="B279" s="1"/>
      <c r="C279" s="1"/>
      <c r="D279" s="1"/>
      <c r="E279" s="1"/>
      <c r="F279" s="1"/>
      <c r="G279" s="1"/>
      <c r="H279" s="6" t="str">
        <f>IFERROR(VLOOKUP(F279, Index!C:D, 2, FALSE), "")</f>
        <v/>
      </c>
      <c r="I279" s="2"/>
      <c r="J279" s="1"/>
      <c r="K279" s="1"/>
      <c r="L279" s="3"/>
      <c r="M279" s="3"/>
      <c r="N279" s="1" t="str">
        <f t="shared" si="5"/>
        <v/>
      </c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 t="s">
        <v>690</v>
      </c>
      <c r="Z279" s="5"/>
    </row>
    <row r="280" spans="1:26" x14ac:dyDescent="0.3">
      <c r="A280" s="4"/>
      <c r="B280" s="1"/>
      <c r="C280" s="1"/>
      <c r="D280" s="1"/>
      <c r="E280" s="1"/>
      <c r="F280" s="1"/>
      <c r="G280" s="1"/>
      <c r="H280" s="6" t="str">
        <f>IFERROR(VLOOKUP(F280, Index!C:D, 2, FALSE), "")</f>
        <v/>
      </c>
      <c r="I280" s="2"/>
      <c r="J280" s="1"/>
      <c r="K280" s="1"/>
      <c r="L280" s="3"/>
      <c r="M280" s="3"/>
      <c r="N280" s="1" t="str">
        <f t="shared" si="5"/>
        <v/>
      </c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 t="s">
        <v>690</v>
      </c>
      <c r="Z280" s="5"/>
    </row>
    <row r="281" spans="1:26" x14ac:dyDescent="0.3">
      <c r="A281" s="4"/>
      <c r="B281" s="1"/>
      <c r="C281" s="1"/>
      <c r="D281" s="1"/>
      <c r="E281" s="1"/>
      <c r="F281" s="1"/>
      <c r="G281" s="1"/>
      <c r="H281" s="6" t="str">
        <f>IFERROR(VLOOKUP(F281, Index!C:D, 2, FALSE), "")</f>
        <v/>
      </c>
      <c r="I281" s="2"/>
      <c r="J281" s="1"/>
      <c r="K281" s="1"/>
      <c r="L281" s="3"/>
      <c r="M281" s="3"/>
      <c r="N281" s="1" t="str">
        <f t="shared" si="5"/>
        <v/>
      </c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 t="s">
        <v>690</v>
      </c>
      <c r="Z281" s="5"/>
    </row>
    <row r="282" spans="1:26" x14ac:dyDescent="0.3">
      <c r="A282" s="4"/>
      <c r="B282" s="1"/>
      <c r="C282" s="1"/>
      <c r="D282" s="1"/>
      <c r="E282" s="1"/>
      <c r="F282" s="1"/>
      <c r="G282" s="1"/>
      <c r="H282" s="6" t="str">
        <f>IFERROR(VLOOKUP(F282, Index!C:D, 2, FALSE), "")</f>
        <v/>
      </c>
      <c r="I282" s="2"/>
      <c r="J282" s="1"/>
      <c r="K282" s="1"/>
      <c r="L282" s="3"/>
      <c r="M282" s="3"/>
      <c r="N282" s="1" t="str">
        <f t="shared" si="5"/>
        <v/>
      </c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 t="s">
        <v>690</v>
      </c>
      <c r="Z282" s="5"/>
    </row>
    <row r="283" spans="1:26" x14ac:dyDescent="0.3">
      <c r="A283" s="4"/>
      <c r="B283" s="1"/>
      <c r="C283" s="1"/>
      <c r="D283" s="1"/>
      <c r="E283" s="1"/>
      <c r="F283" s="1"/>
      <c r="G283" s="1"/>
      <c r="H283" s="6" t="str">
        <f>IFERROR(VLOOKUP(F283, Index!C:D, 2, FALSE), "")</f>
        <v/>
      </c>
      <c r="I283" s="2"/>
      <c r="J283" s="1"/>
      <c r="K283" s="1"/>
      <c r="L283" s="3"/>
      <c r="M283" s="3"/>
      <c r="N283" s="1" t="str">
        <f t="shared" si="5"/>
        <v/>
      </c>
      <c r="O283" s="3"/>
      <c r="P283" s="1"/>
      <c r="Q283" s="1"/>
      <c r="R283" s="1"/>
      <c r="S283" s="1"/>
      <c r="T283" s="1"/>
      <c r="U283" s="1"/>
      <c r="V283" s="1"/>
      <c r="W283" s="1"/>
      <c r="X283" s="1"/>
      <c r="Y283" s="1" t="s">
        <v>690</v>
      </c>
      <c r="Z283" s="5"/>
    </row>
    <row r="284" spans="1:26" x14ac:dyDescent="0.3">
      <c r="A284" s="4"/>
      <c r="B284" s="1"/>
      <c r="C284" s="1"/>
      <c r="D284" s="1"/>
      <c r="E284" s="1"/>
      <c r="F284" s="1"/>
      <c r="G284" s="1"/>
      <c r="H284" s="6" t="str">
        <f>IFERROR(VLOOKUP(F284, Index!C:D, 2, FALSE), "")</f>
        <v/>
      </c>
      <c r="I284" s="2"/>
      <c r="J284" s="1"/>
      <c r="K284" s="1"/>
      <c r="L284" s="3"/>
      <c r="M284" s="3"/>
      <c r="N284" s="1" t="str">
        <f t="shared" si="5"/>
        <v/>
      </c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 t="s">
        <v>690</v>
      </c>
      <c r="Z284" s="5"/>
    </row>
    <row r="285" spans="1:26" x14ac:dyDescent="0.3">
      <c r="A285" s="4"/>
      <c r="B285" s="1"/>
      <c r="C285" s="1"/>
      <c r="D285" s="1"/>
      <c r="E285" s="1"/>
      <c r="F285" s="1"/>
      <c r="G285" s="1"/>
      <c r="H285" s="6" t="str">
        <f>IFERROR(VLOOKUP(F285, Index!C:D, 2, FALSE), "")</f>
        <v/>
      </c>
      <c r="I285" s="2"/>
      <c r="J285" s="1"/>
      <c r="K285" s="1"/>
      <c r="L285" s="3"/>
      <c r="M285" s="3"/>
      <c r="N285" s="1" t="str">
        <f t="shared" si="5"/>
        <v/>
      </c>
      <c r="O285" s="3"/>
      <c r="P285" s="1"/>
      <c r="Q285" s="1"/>
      <c r="R285" s="1"/>
      <c r="S285" s="1"/>
      <c r="T285" s="1"/>
      <c r="U285" s="1"/>
      <c r="V285" s="1"/>
      <c r="W285" s="1"/>
      <c r="X285" s="1"/>
      <c r="Y285" s="1" t="s">
        <v>690</v>
      </c>
      <c r="Z285" s="5"/>
    </row>
    <row r="286" spans="1:26" x14ac:dyDescent="0.3">
      <c r="A286" s="4"/>
      <c r="B286" s="1"/>
      <c r="C286" s="1"/>
      <c r="D286" s="1"/>
      <c r="E286" s="1"/>
      <c r="F286" s="1"/>
      <c r="G286" s="1"/>
      <c r="H286" s="6" t="str">
        <f>IFERROR(VLOOKUP(F286, Index!C:D, 2, FALSE), "")</f>
        <v/>
      </c>
      <c r="I286" s="2"/>
      <c r="J286" s="1"/>
      <c r="K286" s="1"/>
      <c r="L286" s="3"/>
      <c r="M286" s="3"/>
      <c r="N286" s="1" t="str">
        <f t="shared" si="5"/>
        <v/>
      </c>
      <c r="O286" s="3"/>
      <c r="P286" s="1"/>
      <c r="Q286" s="1"/>
      <c r="R286" s="1"/>
      <c r="S286" s="1"/>
      <c r="T286" s="1"/>
      <c r="U286" s="1"/>
      <c r="V286" s="1"/>
      <c r="W286" s="1"/>
      <c r="X286" s="1"/>
      <c r="Y286" s="1" t="s">
        <v>690</v>
      </c>
      <c r="Z286" s="5"/>
    </row>
    <row r="287" spans="1:26" x14ac:dyDescent="0.3">
      <c r="A287" s="4"/>
      <c r="B287" s="1"/>
      <c r="C287" s="1"/>
      <c r="D287" s="1"/>
      <c r="E287" s="1"/>
      <c r="F287" s="1"/>
      <c r="G287" s="1"/>
      <c r="H287" s="6" t="str">
        <f>IFERROR(VLOOKUP(F287, Index!C:D, 2, FALSE), "")</f>
        <v/>
      </c>
      <c r="I287" s="2"/>
      <c r="J287" s="1"/>
      <c r="K287" s="1"/>
      <c r="L287" s="3"/>
      <c r="M287" s="3"/>
      <c r="N287" s="1" t="str">
        <f t="shared" si="5"/>
        <v/>
      </c>
      <c r="O287" s="3"/>
      <c r="P287" s="1"/>
      <c r="Q287" s="1"/>
      <c r="R287" s="1"/>
      <c r="S287" s="1"/>
      <c r="T287" s="1"/>
      <c r="U287" s="1"/>
      <c r="V287" s="1"/>
      <c r="W287" s="1"/>
      <c r="X287" s="1"/>
      <c r="Y287" s="1" t="s">
        <v>690</v>
      </c>
      <c r="Z287" s="5"/>
    </row>
    <row r="288" spans="1:26" x14ac:dyDescent="0.3">
      <c r="A288" s="4"/>
      <c r="B288" s="1"/>
      <c r="C288" s="1"/>
      <c r="D288" s="1"/>
      <c r="E288" s="1"/>
      <c r="F288" s="1"/>
      <c r="G288" s="1"/>
      <c r="H288" s="6" t="str">
        <f>IFERROR(VLOOKUP(F288, Index!C:D, 2, FALSE), "")</f>
        <v/>
      </c>
      <c r="I288" s="2"/>
      <c r="J288" s="1"/>
      <c r="K288" s="1"/>
      <c r="L288" s="3"/>
      <c r="M288" s="3"/>
      <c r="N288" s="1" t="str">
        <f t="shared" si="5"/>
        <v/>
      </c>
      <c r="O288" s="3"/>
      <c r="P288" s="1"/>
      <c r="Q288" s="1"/>
      <c r="R288" s="1"/>
      <c r="S288" s="1"/>
      <c r="T288" s="1"/>
      <c r="U288" s="1"/>
      <c r="V288" s="1"/>
      <c r="W288" s="1"/>
      <c r="X288" s="1"/>
      <c r="Y288" s="1" t="s">
        <v>690</v>
      </c>
      <c r="Z288" s="5"/>
    </row>
    <row r="289" spans="1:26" x14ac:dyDescent="0.3">
      <c r="A289" s="4"/>
      <c r="B289" s="1"/>
      <c r="C289" s="1"/>
      <c r="D289" s="1"/>
      <c r="E289" s="1"/>
      <c r="F289" s="1"/>
      <c r="G289" s="1"/>
      <c r="H289" s="6" t="str">
        <f>IFERROR(VLOOKUP(F289, Index!C:D, 2, FALSE), "")</f>
        <v/>
      </c>
      <c r="I289" s="2"/>
      <c r="J289" s="1"/>
      <c r="K289" s="1"/>
      <c r="L289" s="3"/>
      <c r="M289" s="3"/>
      <c r="N289" s="1" t="str">
        <f t="shared" si="5"/>
        <v/>
      </c>
      <c r="O289" s="3"/>
      <c r="P289" s="1"/>
      <c r="Q289" s="1"/>
      <c r="R289" s="1"/>
      <c r="S289" s="1"/>
      <c r="T289" s="1"/>
      <c r="U289" s="1"/>
      <c r="V289" s="1"/>
      <c r="W289" s="1"/>
      <c r="X289" s="1"/>
      <c r="Y289" s="1" t="s">
        <v>690</v>
      </c>
      <c r="Z289" s="5"/>
    </row>
    <row r="290" spans="1:26" x14ac:dyDescent="0.3">
      <c r="A290" s="4"/>
      <c r="B290" s="1"/>
      <c r="C290" s="1"/>
      <c r="D290" s="1"/>
      <c r="E290" s="1"/>
      <c r="F290" s="1"/>
      <c r="G290" s="1"/>
      <c r="H290" s="6" t="str">
        <f>IFERROR(VLOOKUP(F290, Index!C:D, 2, FALSE), "")</f>
        <v/>
      </c>
      <c r="I290" s="2"/>
      <c r="J290" s="1"/>
      <c r="K290" s="1"/>
      <c r="L290" s="3"/>
      <c r="M290" s="3"/>
      <c r="N290" s="1" t="str">
        <f t="shared" si="5"/>
        <v/>
      </c>
      <c r="O290" s="3"/>
      <c r="P290" s="1"/>
      <c r="Q290" s="1"/>
      <c r="R290" s="1"/>
      <c r="S290" s="1"/>
      <c r="T290" s="1"/>
      <c r="U290" s="1"/>
      <c r="V290" s="1"/>
      <c r="W290" s="1"/>
      <c r="X290" s="1"/>
      <c r="Y290" s="1" t="s">
        <v>690</v>
      </c>
      <c r="Z290" s="5"/>
    </row>
    <row r="291" spans="1:26" x14ac:dyDescent="0.3">
      <c r="A291" s="4"/>
      <c r="B291" s="1"/>
      <c r="C291" s="1"/>
      <c r="D291" s="1"/>
      <c r="E291" s="1"/>
      <c r="F291" s="1"/>
      <c r="G291" s="1"/>
      <c r="H291" s="6" t="str">
        <f>IFERROR(VLOOKUP(F291, Index!C:D, 2, FALSE), "")</f>
        <v/>
      </c>
      <c r="I291" s="2"/>
      <c r="J291" s="1"/>
      <c r="K291" s="1"/>
      <c r="L291" s="3"/>
      <c r="M291" s="3"/>
      <c r="N291" s="1" t="str">
        <f t="shared" si="5"/>
        <v/>
      </c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 t="s">
        <v>690</v>
      </c>
      <c r="Z291" s="5"/>
    </row>
    <row r="292" spans="1:26" x14ac:dyDescent="0.3">
      <c r="A292" s="4"/>
      <c r="B292" s="1"/>
      <c r="C292" s="1"/>
      <c r="D292" s="1"/>
      <c r="E292" s="1"/>
      <c r="F292" s="1"/>
      <c r="G292" s="1"/>
      <c r="H292" s="6" t="str">
        <f>IFERROR(VLOOKUP(F292, Index!C:D, 2, FALSE), "")</f>
        <v/>
      </c>
      <c r="I292" s="2"/>
      <c r="J292" s="1"/>
      <c r="K292" s="1"/>
      <c r="L292" s="3"/>
      <c r="M292" s="3"/>
      <c r="N292" s="1" t="str">
        <f t="shared" si="5"/>
        <v/>
      </c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 t="s">
        <v>690</v>
      </c>
      <c r="Z292" s="5"/>
    </row>
    <row r="293" spans="1:26" x14ac:dyDescent="0.3">
      <c r="A293" s="4"/>
      <c r="B293" s="1"/>
      <c r="C293" s="1"/>
      <c r="D293" s="1"/>
      <c r="E293" s="1"/>
      <c r="F293" s="1"/>
      <c r="G293" s="1"/>
      <c r="H293" s="6" t="str">
        <f>IFERROR(VLOOKUP(F293, Index!C:D, 2, FALSE), "")</f>
        <v/>
      </c>
      <c r="I293" s="2"/>
      <c r="J293" s="1"/>
      <c r="K293" s="1"/>
      <c r="L293" s="3"/>
      <c r="M293" s="3"/>
      <c r="N293" s="1" t="str">
        <f t="shared" si="5"/>
        <v/>
      </c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 t="s">
        <v>690</v>
      </c>
      <c r="Z293" s="5"/>
    </row>
    <row r="294" spans="1:26" x14ac:dyDescent="0.3">
      <c r="A294" s="4"/>
      <c r="B294" s="1"/>
      <c r="C294" s="1"/>
      <c r="D294" s="1"/>
      <c r="E294" s="1"/>
      <c r="F294" s="1"/>
      <c r="G294" s="1"/>
      <c r="H294" s="6" t="str">
        <f>IFERROR(VLOOKUP(F294, Index!C:D, 2, FALSE), "")</f>
        <v/>
      </c>
      <c r="I294" s="2"/>
      <c r="J294" s="1"/>
      <c r="K294" s="1"/>
      <c r="L294" s="3"/>
      <c r="M294" s="3"/>
      <c r="N294" s="1" t="str">
        <f t="shared" si="5"/>
        <v/>
      </c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 t="s">
        <v>690</v>
      </c>
      <c r="Z294" s="5"/>
    </row>
    <row r="295" spans="1:26" x14ac:dyDescent="0.3">
      <c r="A295" s="4"/>
      <c r="B295" s="1"/>
      <c r="C295" s="1"/>
      <c r="D295" s="1"/>
      <c r="E295" s="1"/>
      <c r="F295" s="1"/>
      <c r="G295" s="1"/>
      <c r="H295" s="6" t="str">
        <f>IFERROR(VLOOKUP(F295, Index!C:D, 2, FALSE), "")</f>
        <v/>
      </c>
      <c r="I295" s="2"/>
      <c r="J295" s="1"/>
      <c r="K295" s="1"/>
      <c r="L295" s="3"/>
      <c r="M295" s="3"/>
      <c r="N295" s="1" t="str">
        <f t="shared" si="5"/>
        <v/>
      </c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 t="s">
        <v>690</v>
      </c>
      <c r="Z295" s="5"/>
    </row>
    <row r="296" spans="1:26" x14ac:dyDescent="0.3">
      <c r="A296" s="4"/>
      <c r="B296" s="1"/>
      <c r="C296" s="1"/>
      <c r="D296" s="1"/>
      <c r="E296" s="1"/>
      <c r="F296" s="1"/>
      <c r="G296" s="1"/>
      <c r="H296" s="6" t="str">
        <f>IFERROR(VLOOKUP(F296, Index!C:D, 2, FALSE), "")</f>
        <v/>
      </c>
      <c r="I296" s="2"/>
      <c r="J296" s="1"/>
      <c r="K296" s="1"/>
      <c r="L296" s="3"/>
      <c r="M296" s="3"/>
      <c r="N296" s="1" t="str">
        <f t="shared" si="5"/>
        <v/>
      </c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 t="s">
        <v>690</v>
      </c>
      <c r="Z296" s="5"/>
    </row>
    <row r="297" spans="1:26" x14ac:dyDescent="0.3">
      <c r="A297" s="4"/>
      <c r="B297" s="1"/>
      <c r="C297" s="1"/>
      <c r="D297" s="1"/>
      <c r="E297" s="1"/>
      <c r="F297" s="1"/>
      <c r="G297" s="1"/>
      <c r="H297" s="6" t="str">
        <f>IFERROR(VLOOKUP(F297, Index!C:D, 2, FALSE), "")</f>
        <v/>
      </c>
      <c r="I297" s="2"/>
      <c r="J297" s="1"/>
      <c r="K297" s="1"/>
      <c r="L297" s="3"/>
      <c r="M297" s="3"/>
      <c r="N297" s="1" t="str">
        <f t="shared" si="5"/>
        <v/>
      </c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 t="s">
        <v>690</v>
      </c>
      <c r="Z297" s="5"/>
    </row>
    <row r="298" spans="1:26" x14ac:dyDescent="0.3">
      <c r="A298" s="4"/>
      <c r="B298" s="1"/>
      <c r="C298" s="1"/>
      <c r="D298" s="1"/>
      <c r="E298" s="1"/>
      <c r="F298" s="1"/>
      <c r="G298" s="1"/>
      <c r="H298" s="6" t="str">
        <f>IFERROR(VLOOKUP(F298, Index!C:D, 2, FALSE), "")</f>
        <v/>
      </c>
      <c r="I298" s="2"/>
      <c r="J298" s="1"/>
      <c r="K298" s="1"/>
      <c r="L298" s="3"/>
      <c r="M298" s="3"/>
      <c r="N298" s="1" t="str">
        <f t="shared" si="5"/>
        <v/>
      </c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 t="s">
        <v>690</v>
      </c>
      <c r="Z298" s="5"/>
    </row>
    <row r="299" spans="1:26" x14ac:dyDescent="0.3">
      <c r="A299" s="4"/>
      <c r="B299" s="1"/>
      <c r="C299" s="1"/>
      <c r="D299" s="1"/>
      <c r="E299" s="1"/>
      <c r="F299" s="1"/>
      <c r="G299" s="1"/>
      <c r="H299" s="6" t="str">
        <f>IFERROR(VLOOKUP(F299, Index!C:D, 2, FALSE), "")</f>
        <v/>
      </c>
      <c r="I299" s="2"/>
      <c r="J299" s="1"/>
      <c r="K299" s="1"/>
      <c r="L299" s="3"/>
      <c r="M299" s="3"/>
      <c r="N299" s="1" t="str">
        <f t="shared" si="5"/>
        <v/>
      </c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 t="s">
        <v>690</v>
      </c>
      <c r="Z299" s="5"/>
    </row>
    <row r="300" spans="1:26" x14ac:dyDescent="0.3">
      <c r="A300" s="4"/>
      <c r="B300" s="1"/>
      <c r="C300" s="1"/>
      <c r="D300" s="1"/>
      <c r="E300" s="1"/>
      <c r="F300" s="1"/>
      <c r="G300" s="1"/>
      <c r="H300" s="6" t="str">
        <f>IFERROR(VLOOKUP(F300, Index!C:D, 2, FALSE), "")</f>
        <v/>
      </c>
      <c r="I300" s="2"/>
      <c r="J300" s="1"/>
      <c r="K300" s="1"/>
      <c r="L300" s="3"/>
      <c r="M300" s="3"/>
      <c r="N300" s="1" t="str">
        <f t="shared" si="5"/>
        <v/>
      </c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 t="s">
        <v>690</v>
      </c>
      <c r="Z300" s="5"/>
    </row>
    <row r="301" spans="1:26" x14ac:dyDescent="0.3">
      <c r="A301" s="4"/>
      <c r="B301" s="1"/>
      <c r="C301" s="1"/>
      <c r="D301" s="1"/>
      <c r="E301" s="1"/>
      <c r="F301" s="1"/>
      <c r="G301" s="1"/>
      <c r="H301" s="6" t="str">
        <f>IFERROR(VLOOKUP(F301, Index!C:D, 2, FALSE), "")</f>
        <v/>
      </c>
      <c r="I301" s="2"/>
      <c r="J301" s="1"/>
      <c r="K301" s="1"/>
      <c r="L301" s="3"/>
      <c r="M301" s="3"/>
      <c r="N301" s="1" t="str">
        <f t="shared" si="5"/>
        <v/>
      </c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 t="s">
        <v>690</v>
      </c>
      <c r="Z301" s="5"/>
    </row>
    <row r="302" spans="1:26" x14ac:dyDescent="0.3">
      <c r="A302" s="4"/>
      <c r="B302" s="1"/>
      <c r="C302" s="1"/>
      <c r="D302" s="1"/>
      <c r="E302" s="1"/>
      <c r="F302" s="1"/>
      <c r="G302" s="1"/>
      <c r="H302" s="6" t="str">
        <f>IFERROR(VLOOKUP(F302, Index!C:D, 2, FALSE), "")</f>
        <v/>
      </c>
      <c r="I302" s="2"/>
      <c r="J302" s="1"/>
      <c r="K302" s="1"/>
      <c r="L302" s="3"/>
      <c r="M302" s="3"/>
      <c r="N302" s="1" t="str">
        <f t="shared" si="5"/>
        <v/>
      </c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 t="s">
        <v>690</v>
      </c>
      <c r="Z302" s="5"/>
    </row>
    <row r="303" spans="1:26" x14ac:dyDescent="0.3">
      <c r="A303" s="4"/>
      <c r="B303" s="1"/>
      <c r="C303" s="1"/>
      <c r="D303" s="1"/>
      <c r="E303" s="1"/>
      <c r="F303" s="1"/>
      <c r="G303" s="1"/>
      <c r="H303" s="6" t="str">
        <f>IFERROR(VLOOKUP(F303, Index!C:D, 2, FALSE), "")</f>
        <v/>
      </c>
      <c r="I303" s="2"/>
      <c r="J303" s="1"/>
      <c r="K303" s="1"/>
      <c r="L303" s="3"/>
      <c r="M303" s="3"/>
      <c r="N303" s="1" t="str">
        <f t="shared" si="5"/>
        <v/>
      </c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 t="s">
        <v>690</v>
      </c>
      <c r="Z303" s="5"/>
    </row>
    <row r="304" spans="1:26" x14ac:dyDescent="0.3">
      <c r="A304" s="4"/>
      <c r="B304" s="1"/>
      <c r="C304" s="1"/>
      <c r="D304" s="1"/>
      <c r="E304" s="1"/>
      <c r="F304" s="1"/>
      <c r="G304" s="1"/>
      <c r="H304" s="6" t="str">
        <f>IFERROR(VLOOKUP(F304, Index!C:D, 2, FALSE), "")</f>
        <v/>
      </c>
      <c r="I304" s="2"/>
      <c r="J304" s="1"/>
      <c r="K304" s="1"/>
      <c r="L304" s="3"/>
      <c r="M304" s="3"/>
      <c r="N304" s="1" t="str">
        <f t="shared" si="5"/>
        <v/>
      </c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 t="s">
        <v>690</v>
      </c>
      <c r="Z304" s="5"/>
    </row>
    <row r="305" spans="1:26" x14ac:dyDescent="0.3">
      <c r="A305" s="4"/>
      <c r="B305" s="1"/>
      <c r="C305" s="1"/>
      <c r="D305" s="1"/>
      <c r="E305" s="1"/>
      <c r="F305" s="1"/>
      <c r="G305" s="1"/>
      <c r="H305" s="6" t="str">
        <f>IFERROR(VLOOKUP(F305, Index!C:D, 2, FALSE), "")</f>
        <v/>
      </c>
      <c r="I305" s="2"/>
      <c r="J305" s="1"/>
      <c r="K305" s="1"/>
      <c r="L305" s="3"/>
      <c r="M305" s="3"/>
      <c r="N305" s="1" t="str">
        <f t="shared" si="5"/>
        <v/>
      </c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 t="s">
        <v>690</v>
      </c>
      <c r="Z305" s="5"/>
    </row>
    <row r="306" spans="1:26" x14ac:dyDescent="0.3">
      <c r="A306" s="4"/>
      <c r="B306" s="1"/>
      <c r="C306" s="1"/>
      <c r="D306" s="1"/>
      <c r="E306" s="1"/>
      <c r="F306" s="1"/>
      <c r="G306" s="1"/>
      <c r="H306" s="6" t="str">
        <f>IFERROR(VLOOKUP(F306, Index!C:D, 2, FALSE), "")</f>
        <v/>
      </c>
      <c r="I306" s="2"/>
      <c r="J306" s="1"/>
      <c r="K306" s="1"/>
      <c r="L306" s="3"/>
      <c r="M306" s="3"/>
      <c r="N306" s="1" t="str">
        <f t="shared" si="5"/>
        <v/>
      </c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 t="s">
        <v>690</v>
      </c>
      <c r="Z306" s="5"/>
    </row>
    <row r="307" spans="1:26" x14ac:dyDescent="0.3">
      <c r="A307" s="4"/>
      <c r="B307" s="1"/>
      <c r="C307" s="1"/>
      <c r="D307" s="1"/>
      <c r="E307" s="1"/>
      <c r="F307" s="1"/>
      <c r="G307" s="1"/>
      <c r="H307" s="6" t="str">
        <f>IFERROR(VLOOKUP(F307, Index!C:D, 2, FALSE), "")</f>
        <v/>
      </c>
      <c r="I307" s="2"/>
      <c r="J307" s="1"/>
      <c r="K307" s="1"/>
      <c r="L307" s="3"/>
      <c r="M307" s="3"/>
      <c r="N307" s="1" t="str">
        <f t="shared" si="5"/>
        <v/>
      </c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 t="s">
        <v>690</v>
      </c>
      <c r="Z307" s="5"/>
    </row>
    <row r="308" spans="1:26" x14ac:dyDescent="0.3">
      <c r="A308" s="4"/>
      <c r="B308" s="1"/>
      <c r="C308" s="1"/>
      <c r="D308" s="1"/>
      <c r="E308" s="1"/>
      <c r="F308" s="1"/>
      <c r="G308" s="1"/>
      <c r="H308" s="6" t="str">
        <f>IFERROR(VLOOKUP(F308, Index!C:D, 2, FALSE), "")</f>
        <v/>
      </c>
      <c r="I308" s="2"/>
      <c r="J308" s="1"/>
      <c r="K308" s="1"/>
      <c r="L308" s="3"/>
      <c r="M308" s="3"/>
      <c r="N308" s="1" t="str">
        <f t="shared" si="5"/>
        <v/>
      </c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 t="s">
        <v>690</v>
      </c>
      <c r="Z308" s="5"/>
    </row>
    <row r="309" spans="1:26" x14ac:dyDescent="0.3">
      <c r="A309" s="4"/>
      <c r="B309" s="1"/>
      <c r="C309" s="1"/>
      <c r="D309" s="1"/>
      <c r="E309" s="1"/>
      <c r="F309" s="1"/>
      <c r="G309" s="1"/>
      <c r="H309" s="6" t="str">
        <f>IFERROR(VLOOKUP(F309, Index!C:D, 2, FALSE), "")</f>
        <v/>
      </c>
      <c r="I309" s="2"/>
      <c r="J309" s="1"/>
      <c r="K309" s="1"/>
      <c r="L309" s="3"/>
      <c r="M309" s="3"/>
      <c r="N309" s="1" t="str">
        <f t="shared" si="5"/>
        <v/>
      </c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 t="s">
        <v>690</v>
      </c>
      <c r="Z309" s="5"/>
    </row>
    <row r="310" spans="1:26" x14ac:dyDescent="0.3">
      <c r="A310" s="4"/>
      <c r="B310" s="1"/>
      <c r="C310" s="1"/>
      <c r="D310" s="1"/>
      <c r="E310" s="1"/>
      <c r="F310" s="1"/>
      <c r="G310" s="1"/>
      <c r="H310" s="6" t="str">
        <f>IFERROR(VLOOKUP(F310, Index!C:D, 2, FALSE), "")</f>
        <v/>
      </c>
      <c r="I310" s="2"/>
      <c r="J310" s="1"/>
      <c r="K310" s="1"/>
      <c r="L310" s="3"/>
      <c r="M310" s="3"/>
      <c r="N310" s="1" t="str">
        <f t="shared" si="5"/>
        <v/>
      </c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 t="s">
        <v>690</v>
      </c>
      <c r="Z310" s="5"/>
    </row>
    <row r="311" spans="1:26" x14ac:dyDescent="0.3">
      <c r="A311" s="4"/>
      <c r="B311" s="1"/>
      <c r="C311" s="1"/>
      <c r="D311" s="1"/>
      <c r="E311" s="1"/>
      <c r="F311" s="1"/>
      <c r="G311" s="1"/>
      <c r="H311" s="6" t="str">
        <f>IFERROR(VLOOKUP(F311, Index!C:D, 2, FALSE), "")</f>
        <v/>
      </c>
      <c r="I311" s="2"/>
      <c r="J311" s="1"/>
      <c r="K311" s="1"/>
      <c r="L311" s="3"/>
      <c r="M311" s="3"/>
      <c r="N311" s="1" t="str">
        <f t="shared" si="5"/>
        <v/>
      </c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 t="s">
        <v>690</v>
      </c>
      <c r="Z311" s="5"/>
    </row>
    <row r="312" spans="1:26" x14ac:dyDescent="0.3">
      <c r="A312" s="4"/>
      <c r="B312" s="1"/>
      <c r="C312" s="1"/>
      <c r="D312" s="1"/>
      <c r="E312" s="1"/>
      <c r="F312" s="1"/>
      <c r="G312" s="1"/>
      <c r="H312" s="6" t="str">
        <f>IFERROR(VLOOKUP(F312, Index!C:D, 2, FALSE), "")</f>
        <v/>
      </c>
      <c r="I312" s="2"/>
      <c r="J312" s="1"/>
      <c r="K312" s="1"/>
      <c r="L312" s="3"/>
      <c r="M312" s="3"/>
      <c r="N312" s="1" t="str">
        <f t="shared" si="5"/>
        <v/>
      </c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 t="s">
        <v>690</v>
      </c>
      <c r="Z312" s="5"/>
    </row>
    <row r="313" spans="1:26" x14ac:dyDescent="0.3">
      <c r="A313" s="4"/>
      <c r="B313" s="1"/>
      <c r="C313" s="1"/>
      <c r="D313" s="1"/>
      <c r="E313" s="1"/>
      <c r="F313" s="1"/>
      <c r="G313" s="1"/>
      <c r="H313" s="6" t="str">
        <f>IFERROR(VLOOKUP(F313, Index!C:D, 2, FALSE), "")</f>
        <v/>
      </c>
      <c r="I313" s="2"/>
      <c r="J313" s="1"/>
      <c r="K313" s="1"/>
      <c r="L313" s="3"/>
      <c r="M313" s="3"/>
      <c r="N313" s="1" t="str">
        <f t="shared" si="5"/>
        <v/>
      </c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 t="s">
        <v>690</v>
      </c>
      <c r="Z313" s="5"/>
    </row>
    <row r="314" spans="1:26" x14ac:dyDescent="0.3">
      <c r="A314" s="4"/>
      <c r="B314" s="1"/>
      <c r="C314" s="1"/>
      <c r="D314" s="1"/>
      <c r="E314" s="1"/>
      <c r="F314" s="1"/>
      <c r="G314" s="1"/>
      <c r="H314" s="6" t="str">
        <f>IFERROR(VLOOKUP(F314, Index!C:D, 2, FALSE), "")</f>
        <v/>
      </c>
      <c r="I314" s="2"/>
      <c r="J314" s="1"/>
      <c r="K314" s="1"/>
      <c r="L314" s="3"/>
      <c r="M314" s="3"/>
      <c r="N314" s="1" t="str">
        <f t="shared" si="5"/>
        <v/>
      </c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 t="s">
        <v>690</v>
      </c>
      <c r="Z314" s="5"/>
    </row>
    <row r="315" spans="1:26" x14ac:dyDescent="0.3">
      <c r="A315" s="4"/>
      <c r="B315" s="1"/>
      <c r="C315" s="1"/>
      <c r="D315" s="1"/>
      <c r="E315" s="1"/>
      <c r="F315" s="1"/>
      <c r="G315" s="1"/>
      <c r="H315" s="6" t="str">
        <f>IFERROR(VLOOKUP(F315, Index!C:D, 2, FALSE), "")</f>
        <v/>
      </c>
      <c r="I315" s="2"/>
      <c r="J315" s="1"/>
      <c r="K315" s="1"/>
      <c r="L315" s="3"/>
      <c r="M315" s="3"/>
      <c r="N315" s="1" t="str">
        <f t="shared" si="5"/>
        <v/>
      </c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 t="s">
        <v>690</v>
      </c>
      <c r="Z315" s="5"/>
    </row>
    <row r="316" spans="1:26" x14ac:dyDescent="0.3">
      <c r="A316" s="4"/>
      <c r="B316" s="1"/>
      <c r="C316" s="1"/>
      <c r="D316" s="1"/>
      <c r="E316" s="1"/>
      <c r="F316" s="1"/>
      <c r="G316" s="1"/>
      <c r="H316" s="6" t="str">
        <f>IFERROR(VLOOKUP(F316, Index!C:D, 2, FALSE), "")</f>
        <v/>
      </c>
      <c r="I316" s="2"/>
      <c r="J316" s="1"/>
      <c r="K316" s="1"/>
      <c r="L316" s="3"/>
      <c r="M316" s="3"/>
      <c r="N316" s="1" t="str">
        <f t="shared" si="5"/>
        <v/>
      </c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 t="s">
        <v>690</v>
      </c>
      <c r="Z316" s="5"/>
    </row>
    <row r="317" spans="1:26" x14ac:dyDescent="0.3">
      <c r="A317" s="4"/>
      <c r="B317" s="1"/>
      <c r="C317" s="1"/>
      <c r="D317" s="1"/>
      <c r="E317" s="1"/>
      <c r="F317" s="1"/>
      <c r="G317" s="1"/>
      <c r="H317" s="6" t="str">
        <f>IFERROR(VLOOKUP(F317, Index!C:D, 2, FALSE), "")</f>
        <v/>
      </c>
      <c r="I317" s="2"/>
      <c r="J317" s="1"/>
      <c r="K317" s="1"/>
      <c r="L317" s="3"/>
      <c r="M317" s="3"/>
      <c r="N317" s="1" t="str">
        <f t="shared" si="5"/>
        <v/>
      </c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 t="s">
        <v>690</v>
      </c>
      <c r="Z317" s="5"/>
    </row>
    <row r="318" spans="1:26" x14ac:dyDescent="0.3">
      <c r="A318" s="4"/>
      <c r="B318" s="1"/>
      <c r="C318" s="1"/>
      <c r="D318" s="1"/>
      <c r="E318" s="1"/>
      <c r="F318" s="1"/>
      <c r="G318" s="1"/>
      <c r="H318" s="6" t="str">
        <f>IFERROR(VLOOKUP(F318, Index!C:D, 2, FALSE), "")</f>
        <v/>
      </c>
      <c r="I318" s="2"/>
      <c r="J318" s="1"/>
      <c r="K318" s="1"/>
      <c r="L318" s="3"/>
      <c r="M318" s="3"/>
      <c r="N318" s="1" t="str">
        <f t="shared" si="5"/>
        <v/>
      </c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 t="s">
        <v>690</v>
      </c>
      <c r="Z318" s="5"/>
    </row>
    <row r="319" spans="1:26" x14ac:dyDescent="0.3">
      <c r="A319" s="4"/>
      <c r="B319" s="1"/>
      <c r="C319" s="1"/>
      <c r="D319" s="1"/>
      <c r="E319" s="1"/>
      <c r="F319" s="1"/>
      <c r="G319" s="1"/>
      <c r="H319" s="6" t="str">
        <f>IFERROR(VLOOKUP(F319, Index!C:D, 2, FALSE), "")</f>
        <v/>
      </c>
      <c r="I319" s="2"/>
      <c r="J319" s="1"/>
      <c r="K319" s="1"/>
      <c r="L319" s="3"/>
      <c r="M319" s="3"/>
      <c r="N319" s="1" t="str">
        <f t="shared" si="5"/>
        <v/>
      </c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 t="s">
        <v>690</v>
      </c>
      <c r="Z319" s="5"/>
    </row>
    <row r="320" spans="1:26" x14ac:dyDescent="0.3">
      <c r="A320" s="4"/>
      <c r="B320" s="1"/>
      <c r="C320" s="1"/>
      <c r="D320" s="1"/>
      <c r="E320" s="1"/>
      <c r="F320" s="1"/>
      <c r="G320" s="1"/>
      <c r="H320" s="6" t="str">
        <f>IFERROR(VLOOKUP(F320, Index!C:D, 2, FALSE), "")</f>
        <v/>
      </c>
      <c r="I320" s="2"/>
      <c r="J320" s="1"/>
      <c r="K320" s="1"/>
      <c r="L320" s="3"/>
      <c r="M320" s="3"/>
      <c r="N320" s="1" t="str">
        <f t="shared" ref="N320:N368" si="6">IF(OR(L320="", M320=""), "", IF(L320=M320, 1, M320 - L320))</f>
        <v/>
      </c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 t="s">
        <v>690</v>
      </c>
      <c r="Z320" s="5"/>
    </row>
    <row r="321" spans="1:26" x14ac:dyDescent="0.3">
      <c r="A321" s="4"/>
      <c r="B321" s="1"/>
      <c r="C321" s="1"/>
      <c r="D321" s="1"/>
      <c r="E321" s="1"/>
      <c r="F321" s="1"/>
      <c r="G321" s="1"/>
      <c r="H321" s="6" t="str">
        <f>IFERROR(VLOOKUP(F321, Index!C:D, 2, FALSE), "")</f>
        <v/>
      </c>
      <c r="I321" s="2"/>
      <c r="J321" s="1"/>
      <c r="K321" s="1"/>
      <c r="L321" s="3"/>
      <c r="M321" s="3"/>
      <c r="N321" s="1" t="str">
        <f t="shared" si="6"/>
        <v/>
      </c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 t="s">
        <v>690</v>
      </c>
      <c r="Z321" s="5"/>
    </row>
    <row r="322" spans="1:26" x14ac:dyDescent="0.3">
      <c r="A322" s="4"/>
      <c r="B322" s="1"/>
      <c r="C322" s="1"/>
      <c r="D322" s="1"/>
      <c r="E322" s="1"/>
      <c r="F322" s="1"/>
      <c r="G322" s="1"/>
      <c r="H322" s="6" t="str">
        <f>IFERROR(VLOOKUP(F322, Index!C:D, 2, FALSE), "")</f>
        <v/>
      </c>
      <c r="I322" s="2"/>
      <c r="J322" s="1"/>
      <c r="K322" s="1"/>
      <c r="L322" s="3"/>
      <c r="M322" s="3"/>
      <c r="N322" s="1" t="str">
        <f t="shared" si="6"/>
        <v/>
      </c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 t="s">
        <v>690</v>
      </c>
      <c r="Z322" s="5"/>
    </row>
    <row r="323" spans="1:26" x14ac:dyDescent="0.3">
      <c r="A323" s="4"/>
      <c r="B323" s="1"/>
      <c r="C323" s="1"/>
      <c r="D323" s="1"/>
      <c r="E323" s="1"/>
      <c r="F323" s="1"/>
      <c r="G323" s="1"/>
      <c r="H323" s="6" t="str">
        <f>IFERROR(VLOOKUP(F323, Index!C:D, 2, FALSE), "")</f>
        <v/>
      </c>
      <c r="I323" s="2"/>
      <c r="J323" s="1"/>
      <c r="K323" s="1"/>
      <c r="L323" s="3"/>
      <c r="M323" s="3"/>
      <c r="N323" s="1" t="str">
        <f t="shared" si="6"/>
        <v/>
      </c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 t="s">
        <v>690</v>
      </c>
      <c r="Z323" s="5"/>
    </row>
    <row r="324" spans="1:26" x14ac:dyDescent="0.3">
      <c r="A324" s="4"/>
      <c r="B324" s="1"/>
      <c r="C324" s="1"/>
      <c r="D324" s="1"/>
      <c r="E324" s="1"/>
      <c r="F324" s="1"/>
      <c r="G324" s="1"/>
      <c r="H324" s="6" t="str">
        <f>IFERROR(VLOOKUP(F324, Index!C:D, 2, FALSE), "")</f>
        <v/>
      </c>
      <c r="I324" s="2"/>
      <c r="J324" s="1"/>
      <c r="K324" s="1"/>
      <c r="L324" s="3"/>
      <c r="M324" s="3"/>
      <c r="N324" s="1" t="str">
        <f t="shared" si="6"/>
        <v/>
      </c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 t="s">
        <v>690</v>
      </c>
      <c r="Z324" s="5"/>
    </row>
    <row r="325" spans="1:26" x14ac:dyDescent="0.3">
      <c r="A325" s="4"/>
      <c r="B325" s="1"/>
      <c r="C325" s="1"/>
      <c r="D325" s="1"/>
      <c r="E325" s="1"/>
      <c r="F325" s="1"/>
      <c r="G325" s="1"/>
      <c r="H325" s="6" t="str">
        <f>IFERROR(VLOOKUP(F325, Index!C:D, 2, FALSE), "")</f>
        <v/>
      </c>
      <c r="I325" s="2"/>
      <c r="J325" s="1"/>
      <c r="K325" s="1"/>
      <c r="L325" s="3"/>
      <c r="M325" s="3"/>
      <c r="N325" s="1" t="str">
        <f t="shared" si="6"/>
        <v/>
      </c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 t="s">
        <v>690</v>
      </c>
      <c r="Z325" s="5"/>
    </row>
    <row r="326" spans="1:26" x14ac:dyDescent="0.3">
      <c r="A326" s="4"/>
      <c r="B326" s="1"/>
      <c r="C326" s="1"/>
      <c r="D326" s="1"/>
      <c r="E326" s="1"/>
      <c r="F326" s="1"/>
      <c r="G326" s="1"/>
      <c r="H326" s="6" t="str">
        <f>IFERROR(VLOOKUP(F326, Index!C:D, 2, FALSE), "")</f>
        <v/>
      </c>
      <c r="I326" s="2"/>
      <c r="J326" s="1"/>
      <c r="K326" s="1"/>
      <c r="L326" s="3"/>
      <c r="M326" s="3"/>
      <c r="N326" s="1" t="str">
        <f t="shared" si="6"/>
        <v/>
      </c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 t="s">
        <v>690</v>
      </c>
      <c r="Z326" s="5"/>
    </row>
    <row r="327" spans="1:26" x14ac:dyDescent="0.3">
      <c r="A327" s="4"/>
      <c r="B327" s="1"/>
      <c r="C327" s="1"/>
      <c r="D327" s="1"/>
      <c r="E327" s="1"/>
      <c r="F327" s="1"/>
      <c r="G327" s="1"/>
      <c r="H327" s="6" t="str">
        <f>IFERROR(VLOOKUP(F327, Index!C:D, 2, FALSE), "")</f>
        <v/>
      </c>
      <c r="I327" s="2"/>
      <c r="J327" s="1"/>
      <c r="K327" s="1"/>
      <c r="L327" s="3"/>
      <c r="M327" s="3"/>
      <c r="N327" s="1" t="str">
        <f t="shared" si="6"/>
        <v/>
      </c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 t="s">
        <v>690</v>
      </c>
      <c r="Z327" s="5"/>
    </row>
    <row r="328" spans="1:26" x14ac:dyDescent="0.3">
      <c r="A328" s="4"/>
      <c r="B328" s="1"/>
      <c r="C328" s="1"/>
      <c r="D328" s="1"/>
      <c r="E328" s="1"/>
      <c r="F328" s="1"/>
      <c r="G328" s="1"/>
      <c r="H328" s="6" t="str">
        <f>IFERROR(VLOOKUP(F328, Index!C:D, 2, FALSE), "")</f>
        <v/>
      </c>
      <c r="I328" s="2"/>
      <c r="J328" s="1"/>
      <c r="K328" s="1"/>
      <c r="L328" s="3"/>
      <c r="M328" s="3"/>
      <c r="N328" s="1" t="str">
        <f t="shared" si="6"/>
        <v/>
      </c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 t="s">
        <v>690</v>
      </c>
      <c r="Z328" s="5"/>
    </row>
    <row r="329" spans="1:26" x14ac:dyDescent="0.3">
      <c r="A329" s="4"/>
      <c r="B329" s="1"/>
      <c r="C329" s="1"/>
      <c r="D329" s="1"/>
      <c r="E329" s="1"/>
      <c r="F329" s="1"/>
      <c r="G329" s="1"/>
      <c r="H329" s="6" t="str">
        <f>IFERROR(VLOOKUP(F329, Index!C:D, 2, FALSE), "")</f>
        <v/>
      </c>
      <c r="I329" s="2"/>
      <c r="J329" s="1"/>
      <c r="K329" s="1"/>
      <c r="L329" s="3"/>
      <c r="M329" s="3"/>
      <c r="N329" s="1" t="str">
        <f t="shared" si="6"/>
        <v/>
      </c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 t="s">
        <v>690</v>
      </c>
      <c r="Z329" s="5"/>
    </row>
    <row r="330" spans="1:26" x14ac:dyDescent="0.3">
      <c r="A330" s="4"/>
      <c r="B330" s="1"/>
      <c r="C330" s="1"/>
      <c r="D330" s="1"/>
      <c r="E330" s="1"/>
      <c r="F330" s="1"/>
      <c r="G330" s="1"/>
      <c r="H330" s="6" t="str">
        <f>IFERROR(VLOOKUP(F330, Index!C:D, 2, FALSE), "")</f>
        <v/>
      </c>
      <c r="I330" s="2"/>
      <c r="J330" s="1"/>
      <c r="K330" s="1"/>
      <c r="L330" s="3"/>
      <c r="M330" s="3"/>
      <c r="N330" s="1" t="str">
        <f t="shared" si="6"/>
        <v/>
      </c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 t="s">
        <v>690</v>
      </c>
      <c r="Z330" s="5"/>
    </row>
    <row r="331" spans="1:26" x14ac:dyDescent="0.3">
      <c r="A331" s="4"/>
      <c r="B331" s="1"/>
      <c r="C331" s="1"/>
      <c r="D331" s="1"/>
      <c r="E331" s="1"/>
      <c r="F331" s="1"/>
      <c r="G331" s="1"/>
      <c r="H331" s="6" t="str">
        <f>IFERROR(VLOOKUP(F331, Index!C:D, 2, FALSE), "")</f>
        <v/>
      </c>
      <c r="I331" s="2"/>
      <c r="J331" s="1"/>
      <c r="K331" s="1"/>
      <c r="L331" s="3"/>
      <c r="M331" s="3"/>
      <c r="N331" s="1" t="str">
        <f t="shared" si="6"/>
        <v/>
      </c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 t="s">
        <v>690</v>
      </c>
      <c r="Z331" s="5"/>
    </row>
    <row r="332" spans="1:26" x14ac:dyDescent="0.3">
      <c r="A332" s="4"/>
      <c r="B332" s="1"/>
      <c r="C332" s="1"/>
      <c r="D332" s="1"/>
      <c r="E332" s="1"/>
      <c r="F332" s="1"/>
      <c r="G332" s="1"/>
      <c r="H332" s="6" t="str">
        <f>IFERROR(VLOOKUP(F332, Index!C:D, 2, FALSE), "")</f>
        <v/>
      </c>
      <c r="I332" s="2"/>
      <c r="J332" s="1"/>
      <c r="K332" s="1"/>
      <c r="L332" s="3"/>
      <c r="M332" s="3"/>
      <c r="N332" s="1" t="str">
        <f t="shared" si="6"/>
        <v/>
      </c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 t="s">
        <v>690</v>
      </c>
      <c r="Z332" s="5"/>
    </row>
    <row r="333" spans="1:26" x14ac:dyDescent="0.3">
      <c r="A333" s="4"/>
      <c r="B333" s="1"/>
      <c r="C333" s="1"/>
      <c r="D333" s="1"/>
      <c r="E333" s="1"/>
      <c r="F333" s="1"/>
      <c r="G333" s="1"/>
      <c r="H333" s="6" t="str">
        <f>IFERROR(VLOOKUP(F333, Index!C:D, 2, FALSE), "")</f>
        <v/>
      </c>
      <c r="I333" s="2"/>
      <c r="J333" s="1"/>
      <c r="K333" s="1"/>
      <c r="L333" s="3"/>
      <c r="M333" s="3"/>
      <c r="N333" s="1" t="str">
        <f t="shared" si="6"/>
        <v/>
      </c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 t="s">
        <v>690</v>
      </c>
      <c r="Z333" s="5"/>
    </row>
    <row r="334" spans="1:26" x14ac:dyDescent="0.3">
      <c r="A334" s="4"/>
      <c r="B334" s="1"/>
      <c r="C334" s="1"/>
      <c r="D334" s="1"/>
      <c r="E334" s="1"/>
      <c r="F334" s="1"/>
      <c r="G334" s="1"/>
      <c r="H334" s="6" t="str">
        <f>IFERROR(VLOOKUP(F334, Index!C:D, 2, FALSE), "")</f>
        <v/>
      </c>
      <c r="I334" s="2"/>
      <c r="J334" s="1"/>
      <c r="K334" s="1"/>
      <c r="L334" s="3"/>
      <c r="M334" s="3"/>
      <c r="N334" s="1" t="str">
        <f t="shared" si="6"/>
        <v/>
      </c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 t="s">
        <v>690</v>
      </c>
      <c r="Z334" s="5"/>
    </row>
    <row r="335" spans="1:26" x14ac:dyDescent="0.3">
      <c r="A335" s="4"/>
      <c r="B335" s="1"/>
      <c r="C335" s="1"/>
      <c r="D335" s="1"/>
      <c r="E335" s="1"/>
      <c r="F335" s="1"/>
      <c r="G335" s="1"/>
      <c r="H335" s="6" t="str">
        <f>IFERROR(VLOOKUP(F335, Index!C:D, 2, FALSE), "")</f>
        <v/>
      </c>
      <c r="I335" s="2"/>
      <c r="J335" s="1"/>
      <c r="K335" s="1"/>
      <c r="L335" s="3"/>
      <c r="M335" s="3"/>
      <c r="N335" s="1" t="str">
        <f t="shared" si="6"/>
        <v/>
      </c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 t="s">
        <v>690</v>
      </c>
      <c r="Z335" s="5"/>
    </row>
    <row r="336" spans="1:26" x14ac:dyDescent="0.3">
      <c r="A336" s="4"/>
      <c r="B336" s="1"/>
      <c r="C336" s="1"/>
      <c r="D336" s="1"/>
      <c r="E336" s="1"/>
      <c r="F336" s="1"/>
      <c r="G336" s="1"/>
      <c r="H336" s="6" t="str">
        <f>IFERROR(VLOOKUP(F336, Index!C:D, 2, FALSE), "")</f>
        <v/>
      </c>
      <c r="I336" s="2"/>
      <c r="J336" s="1"/>
      <c r="K336" s="1"/>
      <c r="L336" s="3"/>
      <c r="M336" s="3"/>
      <c r="N336" s="1" t="str">
        <f t="shared" si="6"/>
        <v/>
      </c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 t="s">
        <v>690</v>
      </c>
      <c r="Z336" s="5"/>
    </row>
    <row r="337" spans="1:26" x14ac:dyDescent="0.3">
      <c r="A337" s="4"/>
      <c r="B337" s="1"/>
      <c r="C337" s="1"/>
      <c r="D337" s="1"/>
      <c r="E337" s="1"/>
      <c r="F337" s="1"/>
      <c r="G337" s="1"/>
      <c r="H337" s="6" t="str">
        <f>IFERROR(VLOOKUP(F337, Index!C:D, 2, FALSE), "")</f>
        <v/>
      </c>
      <c r="I337" s="2"/>
      <c r="J337" s="1"/>
      <c r="K337" s="1"/>
      <c r="L337" s="3"/>
      <c r="M337" s="3"/>
      <c r="N337" s="1" t="str">
        <f t="shared" si="6"/>
        <v/>
      </c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 t="s">
        <v>690</v>
      </c>
      <c r="Z337" s="5"/>
    </row>
    <row r="338" spans="1:26" x14ac:dyDescent="0.3">
      <c r="A338" s="4"/>
      <c r="B338" s="1"/>
      <c r="C338" s="1"/>
      <c r="D338" s="1"/>
      <c r="E338" s="1"/>
      <c r="F338" s="1"/>
      <c r="G338" s="1"/>
      <c r="H338" s="6" t="str">
        <f>IFERROR(VLOOKUP(F338, Index!C:D, 2, FALSE), "")</f>
        <v/>
      </c>
      <c r="I338" s="2"/>
      <c r="J338" s="1"/>
      <c r="K338" s="1"/>
      <c r="L338" s="3"/>
      <c r="M338" s="3"/>
      <c r="N338" s="1" t="str">
        <f t="shared" si="6"/>
        <v/>
      </c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 t="s">
        <v>690</v>
      </c>
      <c r="Z338" s="5"/>
    </row>
    <row r="339" spans="1:26" x14ac:dyDescent="0.3">
      <c r="A339" s="4"/>
      <c r="B339" s="1"/>
      <c r="C339" s="1"/>
      <c r="D339" s="1"/>
      <c r="E339" s="1"/>
      <c r="F339" s="1"/>
      <c r="G339" s="1"/>
      <c r="H339" s="6" t="str">
        <f>IFERROR(VLOOKUP(F339, Index!C:D, 2, FALSE), "")</f>
        <v/>
      </c>
      <c r="I339" s="2"/>
      <c r="J339" s="1"/>
      <c r="K339" s="1"/>
      <c r="L339" s="3"/>
      <c r="M339" s="3"/>
      <c r="N339" s="1" t="str">
        <f t="shared" si="6"/>
        <v/>
      </c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 t="s">
        <v>690</v>
      </c>
      <c r="Z339" s="5"/>
    </row>
    <row r="340" spans="1:26" x14ac:dyDescent="0.3">
      <c r="A340" s="4"/>
      <c r="B340" s="1"/>
      <c r="C340" s="1"/>
      <c r="D340" s="1"/>
      <c r="E340" s="1"/>
      <c r="F340" s="1"/>
      <c r="G340" s="1"/>
      <c r="H340" s="6" t="str">
        <f>IFERROR(VLOOKUP(F340, Index!C:D, 2, FALSE), "")</f>
        <v/>
      </c>
      <c r="I340" s="2"/>
      <c r="J340" s="1"/>
      <c r="K340" s="1"/>
      <c r="L340" s="3"/>
      <c r="M340" s="3"/>
      <c r="N340" s="1" t="str">
        <f t="shared" si="6"/>
        <v/>
      </c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 t="s">
        <v>690</v>
      </c>
      <c r="Z340" s="5"/>
    </row>
    <row r="341" spans="1:26" x14ac:dyDescent="0.3">
      <c r="A341" s="4"/>
      <c r="B341" s="1"/>
      <c r="C341" s="1"/>
      <c r="D341" s="1"/>
      <c r="E341" s="1"/>
      <c r="F341" s="1"/>
      <c r="G341" s="1"/>
      <c r="H341" s="6" t="str">
        <f>IFERROR(VLOOKUP(F341, Index!C:D, 2, FALSE), "")</f>
        <v/>
      </c>
      <c r="I341" s="2"/>
      <c r="J341" s="1"/>
      <c r="K341" s="1"/>
      <c r="L341" s="3"/>
      <c r="M341" s="3"/>
      <c r="N341" s="1" t="str">
        <f t="shared" si="6"/>
        <v/>
      </c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 t="s">
        <v>690</v>
      </c>
      <c r="Z341" s="5"/>
    </row>
    <row r="342" spans="1:26" x14ac:dyDescent="0.3">
      <c r="A342" s="4"/>
      <c r="B342" s="1"/>
      <c r="C342" s="1"/>
      <c r="D342" s="1"/>
      <c r="E342" s="1"/>
      <c r="F342" s="1"/>
      <c r="G342" s="1"/>
      <c r="H342" s="6" t="str">
        <f>IFERROR(VLOOKUP(F342, Index!C:D, 2, FALSE), "")</f>
        <v/>
      </c>
      <c r="I342" s="2"/>
      <c r="J342" s="1"/>
      <c r="K342" s="1"/>
      <c r="L342" s="3"/>
      <c r="M342" s="3"/>
      <c r="N342" s="1" t="str">
        <f t="shared" si="6"/>
        <v/>
      </c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 t="s">
        <v>690</v>
      </c>
      <c r="Z342" s="5"/>
    </row>
    <row r="343" spans="1:26" x14ac:dyDescent="0.3">
      <c r="A343" s="4"/>
      <c r="B343" s="1"/>
      <c r="C343" s="1"/>
      <c r="D343" s="1"/>
      <c r="E343" s="1"/>
      <c r="F343" s="1"/>
      <c r="G343" s="1"/>
      <c r="H343" s="6" t="str">
        <f>IFERROR(VLOOKUP(F343, Index!C:D, 2, FALSE), "")</f>
        <v/>
      </c>
      <c r="I343" s="2"/>
      <c r="J343" s="1"/>
      <c r="K343" s="1"/>
      <c r="L343" s="3"/>
      <c r="M343" s="3"/>
      <c r="N343" s="1" t="str">
        <f t="shared" si="6"/>
        <v/>
      </c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 t="s">
        <v>690</v>
      </c>
      <c r="Z343" s="5"/>
    </row>
    <row r="344" spans="1:26" x14ac:dyDescent="0.3">
      <c r="A344" s="4"/>
      <c r="B344" s="1"/>
      <c r="C344" s="1"/>
      <c r="D344" s="1"/>
      <c r="E344" s="1"/>
      <c r="F344" s="1"/>
      <c r="G344" s="1"/>
      <c r="H344" s="6" t="str">
        <f>IFERROR(VLOOKUP(F344, Index!C:D, 2, FALSE), "")</f>
        <v/>
      </c>
      <c r="I344" s="2"/>
      <c r="J344" s="1"/>
      <c r="K344" s="1"/>
      <c r="L344" s="3"/>
      <c r="M344" s="3"/>
      <c r="N344" s="1" t="str">
        <f t="shared" si="6"/>
        <v/>
      </c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 t="s">
        <v>690</v>
      </c>
      <c r="Z344" s="5"/>
    </row>
    <row r="345" spans="1:26" x14ac:dyDescent="0.3">
      <c r="A345" s="4"/>
      <c r="B345" s="1"/>
      <c r="C345" s="1"/>
      <c r="D345" s="1"/>
      <c r="E345" s="1"/>
      <c r="F345" s="1"/>
      <c r="G345" s="1"/>
      <c r="H345" s="6" t="str">
        <f>IFERROR(VLOOKUP(F345, Index!C:D, 2, FALSE), "")</f>
        <v/>
      </c>
      <c r="I345" s="2"/>
      <c r="J345" s="1"/>
      <c r="K345" s="1"/>
      <c r="L345" s="3"/>
      <c r="M345" s="3"/>
      <c r="N345" s="1" t="str">
        <f t="shared" si="6"/>
        <v/>
      </c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 t="s">
        <v>690</v>
      </c>
      <c r="Z345" s="5"/>
    </row>
    <row r="346" spans="1:26" x14ac:dyDescent="0.3">
      <c r="A346" s="4"/>
      <c r="B346" s="1"/>
      <c r="C346" s="1"/>
      <c r="D346" s="1"/>
      <c r="E346" s="1"/>
      <c r="F346" s="1"/>
      <c r="G346" s="1"/>
      <c r="H346" s="6" t="str">
        <f>IFERROR(VLOOKUP(F346, Index!C:D, 2, FALSE), "")</f>
        <v/>
      </c>
      <c r="I346" s="2"/>
      <c r="J346" s="1"/>
      <c r="K346" s="1"/>
      <c r="L346" s="3"/>
      <c r="M346" s="3"/>
      <c r="N346" s="1" t="str">
        <f t="shared" si="6"/>
        <v/>
      </c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 t="s">
        <v>690</v>
      </c>
      <c r="Z346" s="5"/>
    </row>
    <row r="347" spans="1:26" x14ac:dyDescent="0.3">
      <c r="A347" s="4"/>
      <c r="B347" s="1"/>
      <c r="C347" s="1"/>
      <c r="D347" s="1"/>
      <c r="E347" s="1"/>
      <c r="F347" s="1"/>
      <c r="G347" s="1"/>
      <c r="H347" s="6" t="str">
        <f>IFERROR(VLOOKUP(F347, Index!C:D, 2, FALSE), "")</f>
        <v/>
      </c>
      <c r="I347" s="2"/>
      <c r="J347" s="1"/>
      <c r="K347" s="1"/>
      <c r="L347" s="3"/>
      <c r="M347" s="3"/>
      <c r="N347" s="1" t="str">
        <f t="shared" si="6"/>
        <v/>
      </c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 t="s">
        <v>690</v>
      </c>
      <c r="Z347" s="5"/>
    </row>
    <row r="348" spans="1:26" x14ac:dyDescent="0.3">
      <c r="A348" s="4"/>
      <c r="B348" s="1"/>
      <c r="C348" s="1"/>
      <c r="D348" s="1"/>
      <c r="E348" s="1"/>
      <c r="F348" s="1"/>
      <c r="G348" s="1"/>
      <c r="H348" s="6" t="str">
        <f>IFERROR(VLOOKUP(F348, Index!C:D, 2, FALSE), "")</f>
        <v/>
      </c>
      <c r="I348" s="2"/>
      <c r="J348" s="1"/>
      <c r="K348" s="1"/>
      <c r="L348" s="3"/>
      <c r="M348" s="3"/>
      <c r="N348" s="1" t="str">
        <f t="shared" si="6"/>
        <v/>
      </c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 t="s">
        <v>690</v>
      </c>
      <c r="Z348" s="5"/>
    </row>
    <row r="349" spans="1:26" x14ac:dyDescent="0.3">
      <c r="A349" s="4"/>
      <c r="B349" s="1"/>
      <c r="C349" s="1"/>
      <c r="D349" s="1"/>
      <c r="E349" s="1"/>
      <c r="F349" s="1"/>
      <c r="G349" s="1"/>
      <c r="H349" s="6" t="str">
        <f>IFERROR(VLOOKUP(F349, Index!C:D, 2, FALSE), "")</f>
        <v/>
      </c>
      <c r="I349" s="2"/>
      <c r="J349" s="1"/>
      <c r="K349" s="1"/>
      <c r="L349" s="3"/>
      <c r="M349" s="3"/>
      <c r="N349" s="1" t="str">
        <f t="shared" si="6"/>
        <v/>
      </c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 t="s">
        <v>690</v>
      </c>
      <c r="Z349" s="5"/>
    </row>
    <row r="350" spans="1:26" x14ac:dyDescent="0.3">
      <c r="A350" s="4"/>
      <c r="B350" s="1"/>
      <c r="C350" s="1"/>
      <c r="D350" s="1"/>
      <c r="E350" s="1"/>
      <c r="F350" s="1"/>
      <c r="G350" s="1"/>
      <c r="H350" s="6" t="str">
        <f>IFERROR(VLOOKUP(F350, Index!C:D, 2, FALSE), "")</f>
        <v/>
      </c>
      <c r="I350" s="2"/>
      <c r="J350" s="1"/>
      <c r="K350" s="1"/>
      <c r="L350" s="3"/>
      <c r="M350" s="3"/>
      <c r="N350" s="1" t="str">
        <f t="shared" si="6"/>
        <v/>
      </c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 t="s">
        <v>690</v>
      </c>
      <c r="Z350" s="5"/>
    </row>
    <row r="351" spans="1:26" x14ac:dyDescent="0.3">
      <c r="A351" s="4"/>
      <c r="B351" s="1"/>
      <c r="C351" s="1"/>
      <c r="D351" s="1"/>
      <c r="E351" s="1"/>
      <c r="F351" s="1"/>
      <c r="G351" s="1"/>
      <c r="H351" s="6" t="str">
        <f>IFERROR(VLOOKUP(F351, Index!C:D, 2, FALSE), "")</f>
        <v/>
      </c>
      <c r="I351" s="2"/>
      <c r="J351" s="1"/>
      <c r="K351" s="1"/>
      <c r="L351" s="3"/>
      <c r="M351" s="3"/>
      <c r="N351" s="1" t="str">
        <f t="shared" si="6"/>
        <v/>
      </c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 t="s">
        <v>690</v>
      </c>
      <c r="Z351" s="5"/>
    </row>
    <row r="352" spans="1:26" x14ac:dyDescent="0.3">
      <c r="A352" s="4"/>
      <c r="B352" s="1"/>
      <c r="C352" s="1"/>
      <c r="D352" s="1"/>
      <c r="E352" s="1"/>
      <c r="F352" s="1"/>
      <c r="G352" s="1"/>
      <c r="H352" s="6" t="str">
        <f>IFERROR(VLOOKUP(F352, Index!C:D, 2, FALSE), "")</f>
        <v/>
      </c>
      <c r="I352" s="2"/>
      <c r="J352" s="1"/>
      <c r="K352" s="1"/>
      <c r="L352" s="3"/>
      <c r="M352" s="3"/>
      <c r="N352" s="1" t="str">
        <f t="shared" si="6"/>
        <v/>
      </c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 t="s">
        <v>690</v>
      </c>
      <c r="Z352" s="5"/>
    </row>
    <row r="353" spans="1:26" x14ac:dyDescent="0.3">
      <c r="A353" s="4"/>
      <c r="B353" s="1"/>
      <c r="C353" s="1"/>
      <c r="D353" s="1"/>
      <c r="E353" s="1"/>
      <c r="F353" s="1"/>
      <c r="G353" s="1"/>
      <c r="H353" s="6" t="str">
        <f>IFERROR(VLOOKUP(F353, Index!C:D, 2, FALSE), "")</f>
        <v/>
      </c>
      <c r="I353" s="2"/>
      <c r="J353" s="1"/>
      <c r="K353" s="1"/>
      <c r="L353" s="3"/>
      <c r="M353" s="3"/>
      <c r="N353" s="1" t="str">
        <f t="shared" si="6"/>
        <v/>
      </c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 t="s">
        <v>690</v>
      </c>
      <c r="Z353" s="5"/>
    </row>
    <row r="354" spans="1:26" x14ac:dyDescent="0.3">
      <c r="A354" s="4"/>
      <c r="B354" s="1"/>
      <c r="C354" s="1"/>
      <c r="D354" s="1"/>
      <c r="E354" s="1"/>
      <c r="F354" s="1"/>
      <c r="G354" s="1"/>
      <c r="H354" s="6" t="str">
        <f>IFERROR(VLOOKUP(F354, Index!C:D, 2, FALSE), "")</f>
        <v/>
      </c>
      <c r="I354" s="2"/>
      <c r="J354" s="1"/>
      <c r="K354" s="1"/>
      <c r="L354" s="3"/>
      <c r="M354" s="3"/>
      <c r="N354" s="1" t="str">
        <f t="shared" si="6"/>
        <v/>
      </c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 t="s">
        <v>690</v>
      </c>
      <c r="Z354" s="5"/>
    </row>
    <row r="355" spans="1:26" x14ac:dyDescent="0.3">
      <c r="A355" s="4"/>
      <c r="B355" s="1"/>
      <c r="C355" s="1"/>
      <c r="D355" s="1"/>
      <c r="E355" s="1"/>
      <c r="F355" s="1"/>
      <c r="G355" s="1"/>
      <c r="H355" s="6" t="str">
        <f>IFERROR(VLOOKUP(F355, Index!C:D, 2, FALSE), "")</f>
        <v/>
      </c>
      <c r="I355" s="2"/>
      <c r="J355" s="1"/>
      <c r="K355" s="1"/>
      <c r="L355" s="3"/>
      <c r="M355" s="3"/>
      <c r="N355" s="1" t="str">
        <f t="shared" si="6"/>
        <v/>
      </c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 t="s">
        <v>690</v>
      </c>
      <c r="Z355" s="5"/>
    </row>
    <row r="356" spans="1:26" x14ac:dyDescent="0.3">
      <c r="A356" s="4"/>
      <c r="B356" s="1"/>
      <c r="C356" s="1"/>
      <c r="D356" s="1"/>
      <c r="E356" s="1"/>
      <c r="F356" s="1"/>
      <c r="G356" s="1"/>
      <c r="H356" s="6" t="str">
        <f>IFERROR(VLOOKUP(F356, Index!C:D, 2, FALSE), "")</f>
        <v/>
      </c>
      <c r="I356" s="2"/>
      <c r="J356" s="1"/>
      <c r="K356" s="1"/>
      <c r="L356" s="3"/>
      <c r="M356" s="3"/>
      <c r="N356" s="1" t="str">
        <f t="shared" si="6"/>
        <v/>
      </c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 t="s">
        <v>690</v>
      </c>
      <c r="Z356" s="5"/>
    </row>
    <row r="357" spans="1:26" x14ac:dyDescent="0.3">
      <c r="A357" s="4"/>
      <c r="B357" s="1"/>
      <c r="C357" s="1"/>
      <c r="D357" s="1"/>
      <c r="E357" s="1"/>
      <c r="F357" s="1"/>
      <c r="G357" s="1"/>
      <c r="H357" s="6" t="str">
        <f>IFERROR(VLOOKUP(F357, Index!C:D, 2, FALSE), "")</f>
        <v/>
      </c>
      <c r="I357" s="2"/>
      <c r="J357" s="1"/>
      <c r="K357" s="1"/>
      <c r="L357" s="3"/>
      <c r="M357" s="3"/>
      <c r="N357" s="1" t="str">
        <f t="shared" si="6"/>
        <v/>
      </c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 t="s">
        <v>690</v>
      </c>
      <c r="Z357" s="5"/>
    </row>
    <row r="358" spans="1:26" x14ac:dyDescent="0.3">
      <c r="A358" s="4"/>
      <c r="B358" s="1"/>
      <c r="C358" s="1"/>
      <c r="D358" s="1"/>
      <c r="E358" s="1"/>
      <c r="F358" s="1"/>
      <c r="G358" s="1"/>
      <c r="H358" s="6" t="str">
        <f>IFERROR(VLOOKUP(F358, Index!C:D, 2, FALSE), "")</f>
        <v/>
      </c>
      <c r="I358" s="2"/>
      <c r="J358" s="1"/>
      <c r="K358" s="1"/>
      <c r="L358" s="3"/>
      <c r="M358" s="3"/>
      <c r="N358" s="1" t="str">
        <f t="shared" si="6"/>
        <v/>
      </c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 t="s">
        <v>690</v>
      </c>
      <c r="Z358" s="5"/>
    </row>
    <row r="359" spans="1:26" x14ac:dyDescent="0.3">
      <c r="A359" s="4"/>
      <c r="B359" s="1"/>
      <c r="C359" s="1"/>
      <c r="D359" s="1"/>
      <c r="E359" s="1"/>
      <c r="F359" s="1"/>
      <c r="G359" s="1"/>
      <c r="H359" s="6" t="str">
        <f>IFERROR(VLOOKUP(F359, Index!C:D, 2, FALSE), "")</f>
        <v/>
      </c>
      <c r="I359" s="2"/>
      <c r="J359" s="1"/>
      <c r="K359" s="1"/>
      <c r="L359" s="3"/>
      <c r="M359" s="3"/>
      <c r="N359" s="1" t="str">
        <f t="shared" si="6"/>
        <v/>
      </c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 t="s">
        <v>690</v>
      </c>
      <c r="Z359" s="5"/>
    </row>
    <row r="360" spans="1:26" x14ac:dyDescent="0.3">
      <c r="A360" s="4"/>
      <c r="B360" s="1"/>
      <c r="C360" s="1"/>
      <c r="D360" s="1"/>
      <c r="E360" s="1"/>
      <c r="F360" s="1"/>
      <c r="G360" s="1"/>
      <c r="H360" s="6" t="str">
        <f>IFERROR(VLOOKUP(F360, Index!C:D, 2, FALSE), "")</f>
        <v/>
      </c>
      <c r="I360" s="2"/>
      <c r="J360" s="1"/>
      <c r="K360" s="1"/>
      <c r="L360" s="3"/>
      <c r="M360" s="3"/>
      <c r="N360" s="1" t="str">
        <f t="shared" si="6"/>
        <v/>
      </c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 t="s">
        <v>690</v>
      </c>
      <c r="Z360" s="5"/>
    </row>
    <row r="361" spans="1:26" x14ac:dyDescent="0.3">
      <c r="A361" s="4"/>
      <c r="B361" s="1"/>
      <c r="C361" s="1"/>
      <c r="D361" s="1"/>
      <c r="E361" s="1"/>
      <c r="F361" s="1"/>
      <c r="G361" s="1"/>
      <c r="H361" s="6" t="str">
        <f>IFERROR(VLOOKUP(F361, Index!C:D, 2, FALSE), "")</f>
        <v/>
      </c>
      <c r="I361" s="2"/>
      <c r="J361" s="1"/>
      <c r="K361" s="1"/>
      <c r="L361" s="3"/>
      <c r="M361" s="3"/>
      <c r="N361" s="1" t="str">
        <f t="shared" si="6"/>
        <v/>
      </c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 t="s">
        <v>690</v>
      </c>
      <c r="Z361" s="5"/>
    </row>
    <row r="362" spans="1:26" x14ac:dyDescent="0.3">
      <c r="A362" s="4"/>
      <c r="B362" s="1"/>
      <c r="C362" s="1"/>
      <c r="D362" s="1"/>
      <c r="E362" s="1"/>
      <c r="F362" s="1"/>
      <c r="G362" s="1"/>
      <c r="H362" s="6" t="str">
        <f>IFERROR(VLOOKUP(F362, Index!C:D, 2, FALSE), "")</f>
        <v/>
      </c>
      <c r="I362" s="2"/>
      <c r="J362" s="1"/>
      <c r="K362" s="1"/>
      <c r="L362" s="3"/>
      <c r="M362" s="3"/>
      <c r="N362" s="1" t="str">
        <f t="shared" si="6"/>
        <v/>
      </c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 t="s">
        <v>690</v>
      </c>
      <c r="Z362" s="5"/>
    </row>
    <row r="363" spans="1:26" x14ac:dyDescent="0.3">
      <c r="A363" s="4"/>
      <c r="B363" s="1"/>
      <c r="C363" s="1"/>
      <c r="D363" s="1"/>
      <c r="E363" s="1"/>
      <c r="F363" s="1"/>
      <c r="G363" s="1"/>
      <c r="H363" s="6" t="str">
        <f>IFERROR(VLOOKUP(F363, Index!C:D, 2, FALSE), "")</f>
        <v/>
      </c>
      <c r="I363" s="2"/>
      <c r="J363" s="1"/>
      <c r="K363" s="1"/>
      <c r="L363" s="3"/>
      <c r="M363" s="3"/>
      <c r="N363" s="1" t="str">
        <f t="shared" si="6"/>
        <v/>
      </c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 t="s">
        <v>690</v>
      </c>
      <c r="Z363" s="5"/>
    </row>
    <row r="364" spans="1:26" x14ac:dyDescent="0.3">
      <c r="A364" s="4"/>
      <c r="B364" s="1"/>
      <c r="C364" s="1"/>
      <c r="D364" s="1"/>
      <c r="E364" s="1"/>
      <c r="F364" s="1"/>
      <c r="G364" s="1"/>
      <c r="H364" s="6" t="str">
        <f>IFERROR(VLOOKUP(F364, Index!C:D, 2, FALSE), "")</f>
        <v/>
      </c>
      <c r="I364" s="2"/>
      <c r="J364" s="1"/>
      <c r="K364" s="1"/>
      <c r="L364" s="3"/>
      <c r="M364" s="3"/>
      <c r="N364" s="1" t="str">
        <f t="shared" si="6"/>
        <v/>
      </c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 t="s">
        <v>690</v>
      </c>
      <c r="Z364" s="5"/>
    </row>
    <row r="365" spans="1:26" x14ac:dyDescent="0.3">
      <c r="A365" s="4"/>
      <c r="B365" s="1"/>
      <c r="C365" s="1"/>
      <c r="D365" s="1"/>
      <c r="E365" s="1"/>
      <c r="F365" s="1"/>
      <c r="G365" s="1"/>
      <c r="H365" s="6" t="str">
        <f>IFERROR(VLOOKUP(F365, Index!C:D, 2, FALSE), "")</f>
        <v/>
      </c>
      <c r="I365" s="2"/>
      <c r="J365" s="1"/>
      <c r="K365" s="1"/>
      <c r="L365" s="3"/>
      <c r="M365" s="3"/>
      <c r="N365" s="1" t="str">
        <f t="shared" si="6"/>
        <v/>
      </c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 t="s">
        <v>690</v>
      </c>
      <c r="Z365" s="5"/>
    </row>
    <row r="366" spans="1:26" x14ac:dyDescent="0.3">
      <c r="A366" s="4"/>
      <c r="B366" s="1"/>
      <c r="C366" s="1"/>
      <c r="D366" s="1"/>
      <c r="E366" s="1"/>
      <c r="F366" s="1"/>
      <c r="G366" s="1"/>
      <c r="H366" s="6" t="str">
        <f>IFERROR(VLOOKUP(F366, Index!C:D, 2, FALSE), "")</f>
        <v/>
      </c>
      <c r="I366" s="2"/>
      <c r="J366" s="1"/>
      <c r="K366" s="1"/>
      <c r="L366" s="3"/>
      <c r="M366" s="3"/>
      <c r="N366" s="1" t="str">
        <f t="shared" si="6"/>
        <v/>
      </c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 t="s">
        <v>690</v>
      </c>
      <c r="Z366" s="5"/>
    </row>
    <row r="367" spans="1:26" x14ac:dyDescent="0.3">
      <c r="A367" s="4"/>
      <c r="B367" s="1"/>
      <c r="C367" s="1"/>
      <c r="D367" s="1"/>
      <c r="E367" s="1"/>
      <c r="F367" s="1"/>
      <c r="G367" s="1"/>
      <c r="H367" s="6" t="str">
        <f>IFERROR(VLOOKUP(F367, Index!C:D, 2, FALSE), "")</f>
        <v/>
      </c>
      <c r="I367" s="2"/>
      <c r="J367" s="1"/>
      <c r="K367" s="1"/>
      <c r="L367" s="3"/>
      <c r="M367" s="3"/>
      <c r="N367" s="1" t="str">
        <f t="shared" si="6"/>
        <v/>
      </c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 t="s">
        <v>690</v>
      </c>
      <c r="Z367" s="5"/>
    </row>
    <row r="368" spans="1:26" x14ac:dyDescent="0.3">
      <c r="A368" s="4"/>
      <c r="B368" s="1"/>
      <c r="C368" s="1"/>
      <c r="D368" s="1"/>
      <c r="E368" s="1"/>
      <c r="F368" s="1"/>
      <c r="G368" s="1"/>
      <c r="H368" s="6" t="str">
        <f>IFERROR(VLOOKUP(F368, Index!C:D, 2, FALSE), "")</f>
        <v/>
      </c>
      <c r="I368" s="2"/>
      <c r="J368" s="1"/>
      <c r="K368" s="1"/>
      <c r="L368" s="3"/>
      <c r="M368" s="3"/>
      <c r="N368" s="1" t="str">
        <f t="shared" si="6"/>
        <v/>
      </c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 t="s">
        <v>690</v>
      </c>
      <c r="Z368" s="5"/>
    </row>
  </sheetData>
  <mergeCells count="4">
    <mergeCell ref="A1:J1"/>
    <mergeCell ref="K1:O1"/>
    <mergeCell ref="T1:Z1"/>
    <mergeCell ref="P1:S1"/>
  </mergeCells>
  <phoneticPr fontId="16" type="noConversion"/>
  <conditionalFormatting sqref="A114">
    <cfRule type="expression" dxfId="39" priority="80">
      <formula>$Y113="Nouveau"</formula>
    </cfRule>
    <cfRule type="expression" dxfId="38" priority="78">
      <formula>$Y113="En attente"</formula>
    </cfRule>
    <cfRule type="expression" dxfId="37" priority="77">
      <formula>$Y113="Clôturé"</formula>
    </cfRule>
    <cfRule type="expression" dxfId="36" priority="76">
      <formula>$Y113="A contacter"</formula>
    </cfRule>
    <cfRule type="expression" dxfId="35" priority="79">
      <formula>$Y113="En cours"</formula>
    </cfRule>
  </conditionalFormatting>
  <conditionalFormatting sqref="A3:Z51 A52:O54 Q52:Z54 A55:Z73 F74:Z76 A74:E96 F77:N78 P77:Z78 F79:Z79 F80:Y81 F82:Z96 A109:A113 B109:Z117 A115:A117 A164:I164 L164:Z164 A165:Z368">
    <cfRule type="expression" dxfId="34" priority="36">
      <formula>$Y3="A contacter"</formula>
    </cfRule>
    <cfRule type="expression" dxfId="33" priority="37">
      <formula>$Y3="Clôturé"</formula>
    </cfRule>
    <cfRule type="expression" dxfId="32" priority="38">
      <formula>$Y3="En attente"</formula>
    </cfRule>
    <cfRule type="expression" dxfId="31" priority="39">
      <formula>$Y3="En cours"</formula>
    </cfRule>
    <cfRule type="expression" dxfId="30" priority="40">
      <formula>$Y3="Nouveau"</formula>
    </cfRule>
  </conditionalFormatting>
  <conditionalFormatting sqref="A97:Z108">
    <cfRule type="expression" dxfId="29" priority="11">
      <formula>$Y97="A contacter"</formula>
    </cfRule>
    <cfRule type="expression" dxfId="28" priority="12">
      <formula>$Y97="Clôturé"</formula>
    </cfRule>
    <cfRule type="expression" dxfId="27" priority="13">
      <formula>$Y97="En attente"</formula>
    </cfRule>
    <cfRule type="expression" dxfId="26" priority="14">
      <formula>$Y97="En cours"</formula>
    </cfRule>
    <cfRule type="expression" dxfId="25" priority="15">
      <formula>$Y97="Nouveau"</formula>
    </cfRule>
  </conditionalFormatting>
  <conditionalFormatting sqref="A118:Z163">
    <cfRule type="expression" dxfId="24" priority="2">
      <formula>$Y118="Clôturé"</formula>
    </cfRule>
    <cfRule type="expression" dxfId="23" priority="3">
      <formula>$Y118="En attente"</formula>
    </cfRule>
    <cfRule type="expression" dxfId="22" priority="4">
      <formula>$Y118="En cours"</formula>
    </cfRule>
    <cfRule type="expression" dxfId="21" priority="5">
      <formula>$Y118="Nouveau"</formula>
    </cfRule>
    <cfRule type="expression" dxfId="20" priority="1">
      <formula>$Y118="A contacter"</formula>
    </cfRule>
  </conditionalFormatting>
  <conditionalFormatting sqref="O78">
    <cfRule type="expression" dxfId="19" priority="21">
      <formula>$Y78="A contacter"</formula>
    </cfRule>
    <cfRule type="expression" dxfId="18" priority="25">
      <formula>$Y78="Nouveau"</formula>
    </cfRule>
    <cfRule type="expression" dxfId="17" priority="24">
      <formula>$Y78="En cours"</formula>
    </cfRule>
    <cfRule type="expression" dxfId="16" priority="23">
      <formula>$Y78="En attente"</formula>
    </cfRule>
    <cfRule type="expression" dxfId="15" priority="22">
      <formula>$Y78="Clôturé"</formula>
    </cfRule>
  </conditionalFormatting>
  <conditionalFormatting sqref="P52:P54 O77 Z80">
    <cfRule type="expression" dxfId="14" priority="46">
      <formula>$Y53="A contacter"</formula>
    </cfRule>
    <cfRule type="expression" dxfId="13" priority="47">
      <formula>$Y53="Clôturé"</formula>
    </cfRule>
    <cfRule type="expression" dxfId="12" priority="48">
      <formula>$Y53="En attente"</formula>
    </cfRule>
    <cfRule type="expression" dxfId="11" priority="49">
      <formula>$Y53="En cours"</formula>
    </cfRule>
    <cfRule type="expression" dxfId="10" priority="50">
      <formula>$Y53="Nouveau"</formula>
    </cfRule>
  </conditionalFormatting>
  <conditionalFormatting sqref="Q54">
    <cfRule type="expression" dxfId="9" priority="66">
      <formula>#REF!="A contacter"</formula>
    </cfRule>
    <cfRule type="expression" dxfId="8" priority="67">
      <formula>#REF!="Clôturé"</formula>
    </cfRule>
    <cfRule type="expression" dxfId="7" priority="68">
      <formula>#REF!="En attente"</formula>
    </cfRule>
    <cfRule type="expression" dxfId="6" priority="69">
      <formula>#REF!="En cours"</formula>
    </cfRule>
    <cfRule type="expression" dxfId="5" priority="70">
      <formula>#REF!="Nouveau"</formula>
    </cfRule>
  </conditionalFormatting>
  <conditionalFormatting sqref="Z81">
    <cfRule type="expression" dxfId="4" priority="16">
      <formula>$Y81="A contacter"</formula>
    </cfRule>
    <cfRule type="expression" dxfId="3" priority="17">
      <formula>$Y81="Clôturé"</formula>
    </cfRule>
    <cfRule type="expression" dxfId="2" priority="18">
      <formula>$Y81="En attente"</formula>
    </cfRule>
    <cfRule type="expression" dxfId="1" priority="19">
      <formula>$Y81="En cours"</formula>
    </cfRule>
    <cfRule type="expression" dxfId="0" priority="20">
      <formula>$Y81="Nouveau"</formula>
    </cfRule>
  </conditionalFormatting>
  <dataValidations count="5">
    <dataValidation type="list" allowBlank="1" showInputMessage="1" showErrorMessage="1" sqref="K1" xr:uid="{422E929F-9329-4C81-A100-995FD3E01C4C}">
      <formula1>"Option1, Option2, Option3"</formula1>
    </dataValidation>
    <dataValidation type="list" allowBlank="1" showInputMessage="1" showErrorMessage="1" sqref="P3:P79 P81:P368" xr:uid="{BC64BA1A-C53D-40D0-9E65-B015014BACEB}">
      <formula1>"Conflits de voisinage, Conflits riverains/HORECA, Conflits Familiaux/ Conjugaux, Conflits Locatifs, Copropriété, Conflits en lien avec l'espace public, Cohabitation/colocation, Autres conflits"</formula1>
    </dataValidation>
    <dataValidation type="list" allowBlank="1" showInputMessage="1" showErrorMessage="1" sqref="Y3:Y368" xr:uid="{A85B319F-C58E-45F4-A748-E8101B277EDD}">
      <formula1>"Nouveau, En cours, En attente, Clôturé, A contacter"</formula1>
    </dataValidation>
    <dataValidation type="list" allowBlank="1" showInputMessage="1" showErrorMessage="1" sqref="K3:K163 K165:K368" xr:uid="{EE9564BD-E0AB-4054-B7DC-5F5B3C085E7A}">
      <formula1>"Louise, Sedia, Pascal, Louise &amp; Pascal, Louise &amp; Sedia, Pascal &amp; Sedia "</formula1>
    </dataValidation>
    <dataValidation type="list" allowBlank="1" showInputMessage="1" showErrorMessage="1" sqref="Z3:Z368" xr:uid="{8EB3C06C-4E9F-4F1A-806A-9745E3C6C197}">
      <formula1>"Impossibilité technique (non-joignables), Refus (de l'une partie ou des deux), Réorientation, Interruption du processus de médiation, Apaisement avant médiation, Apaisement, Accord verbal, Accord écrit"</formula1>
    </dataValidation>
  </dataValidations>
  <hyperlinks>
    <hyperlink ref="J3" r:id="rId1" xr:uid="{BDFA1328-AD40-4E51-89F6-332D45DA36B5}"/>
    <hyperlink ref="J5" r:id="rId2" xr:uid="{503D8BEE-033A-4BBF-9FD5-E4A6D66F4D0C}"/>
    <hyperlink ref="J6" r:id="rId3" xr:uid="{07940D5E-11FA-4863-B3C0-50DBDB7D7A5E}"/>
    <hyperlink ref="J7" r:id="rId4" xr:uid="{9B5A486D-8A07-4469-B1EC-2A9AD588EFE0}"/>
    <hyperlink ref="J9" r:id="rId5" xr:uid="{2CEBDB75-7DE9-49A9-A3FE-BA570E26CDF6}"/>
    <hyperlink ref="J10" r:id="rId6" xr:uid="{9A9F47E4-CD36-4BEF-83E2-D0A224041F5A}"/>
    <hyperlink ref="J13" r:id="rId7" xr:uid="{EB0BE019-305D-448B-82FA-CBC1034685CC}"/>
    <hyperlink ref="J16" r:id="rId8" xr:uid="{5FD5E4E7-86B3-408F-B156-433635756D00}"/>
    <hyperlink ref="J19" r:id="rId9" xr:uid="{91AA3840-D033-445A-A664-1E1503194F81}"/>
    <hyperlink ref="J34" r:id="rId10" xr:uid="{14E81940-F79A-4196-9964-2F90E3E599EC}"/>
    <hyperlink ref="J24" r:id="rId11" xr:uid="{C53D9903-455A-4EBB-B6E2-4F8F3D9C23E8}"/>
    <hyperlink ref="J36" r:id="rId12" xr:uid="{7CB65E19-2366-49AF-A4C2-E0CF1E5FDC26}"/>
    <hyperlink ref="J45" r:id="rId13" xr:uid="{06E89B8F-8AC4-47A2-BE9A-AA58AC478733}"/>
    <hyperlink ref="J60" r:id="rId14" xr:uid="{FDD1E6EC-8D3A-449D-A15C-6C6DEAA86FC8}"/>
    <hyperlink ref="J68" r:id="rId15" xr:uid="{331E1011-D7A6-4191-A59A-FC893A0E7962}"/>
    <hyperlink ref="J72" r:id="rId16" xr:uid="{572AF124-5645-4E77-B1DC-81CBEDFCA454}"/>
    <hyperlink ref="J92" r:id="rId17" xr:uid="{6E4155E3-53E8-49F4-AE70-0EBD9471C39A}"/>
    <hyperlink ref="J98" r:id="rId18" xr:uid="{2234F55F-2723-43C0-A463-CA5F65DE369E}"/>
    <hyperlink ref="J101" r:id="rId19" xr:uid="{B82D0FA5-BCB7-43FF-9E46-407C1601F824}"/>
    <hyperlink ref="J119" r:id="rId20" xr:uid="{19A201F5-F86E-479A-8FCC-2AAB17826FE0}"/>
    <hyperlink ref="J120" r:id="rId21" xr:uid="{AB7C2DA3-7F88-47BE-A5AA-842BCD94D20A}"/>
    <hyperlink ref="J158" r:id="rId22" xr:uid="{4F751657-8D52-49CF-985F-339A75783C2C}"/>
    <hyperlink ref="J160" r:id="rId23" xr:uid="{BC0BB362-A027-4835-BCA3-4D361675CBA9}"/>
    <hyperlink ref="J159" r:id="rId24" xr:uid="{E807604B-46DD-4971-996F-86D0309B8ABF}"/>
    <hyperlink ref="J163" r:id="rId25" xr:uid="{93C1F88D-7064-41B2-A0A6-BAD25ED668D9}"/>
    <hyperlink ref="J165" r:id="rId26" xr:uid="{BD91CC1A-BCAE-4EA6-BFF7-53B492F6DBC5}"/>
    <hyperlink ref="J166" r:id="rId27" xr:uid="{AA1AA402-9F91-4EA9-9A5A-FE13DA835541}"/>
    <hyperlink ref="J167" r:id="rId28" xr:uid="{3C1C2D37-8D23-48A4-BF52-4C915CC8D029}"/>
    <hyperlink ref="J169" r:id="rId29" xr:uid="{268A3106-4122-486F-BA47-072AD0AEB6BC}"/>
  </hyperlinks>
  <pageMargins left="0.7" right="0.7" top="0.75" bottom="0.75" header="0.3" footer="0.3"/>
  <pageSetup paperSize="9" orientation="portrait" r:id="rId3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0E68C25-D872-4D06-820B-1B44169BBA1F}">
          <x14:formula1>
            <xm:f>Index!$A$21:$A$44</xm:f>
          </x14:formula1>
          <xm:sqref>T369:T371 R369:R371</xm:sqref>
        </x14:dataValidation>
        <x14:dataValidation type="list" allowBlank="1" showInputMessage="1" showErrorMessage="1" xr:uid="{8B483082-3F3A-4D59-BB14-DA6DCF7A34C8}">
          <x14:formula1>
            <xm:f>Index!$A$21:$A$50</xm:f>
          </x14:formula1>
          <xm:sqref>R97:R368 W97:W368 W3:W73 R3:R73 T3:T73 T97:T368</xm:sqref>
        </x14:dataValidation>
        <x14:dataValidation type="list" allowBlank="1" showInputMessage="1" showErrorMessage="1" xr:uid="{0DC1F859-680D-4BFA-B55A-98340A9FB434}">
          <x14:formula1>
            <xm:f>Index!$C:$C</xm:f>
          </x14:formula1>
          <xm:sqref>F1:F73 F97:F368</xm:sqref>
        </x14:dataValidation>
        <x14:dataValidation type="list" allowBlank="1" showInputMessage="1" showErrorMessage="1" xr:uid="{C397CCEA-1BB8-4094-86B0-7F397B5709F1}">
          <x14:formula1>
            <xm:f>Index!$A$2:$A$5</xm:f>
          </x14:formula1>
          <xm:sqref>E3:E368</xm:sqref>
        </x14:dataValidation>
        <x14:dataValidation type="list" allowBlank="1" showInputMessage="1" showErrorMessage="1" xr:uid="{275D597B-FA0E-428B-A2BC-C9AD2CDDD73B}">
          <x14:formula1>
            <xm:f>Index!$A$11:$A$13</xm:f>
          </x14:formula1>
          <xm:sqref>D3:D73 D97:D368</xm:sqref>
        </x14:dataValidation>
        <x14:dataValidation type="list" allowBlank="1" showInputMessage="1" showErrorMessage="1" xr:uid="{4B11E770-E271-4DEC-9A55-9D35DC56409E}">
          <x14:formula1>
            <xm:f>Index!$A$17:$A$18</xm:f>
          </x14:formula1>
          <xm:sqref>V3:V73 V97:V373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2190-3CD0-4E88-B2AA-6D4A094435C7}">
  <sheetPr>
    <pageSetUpPr fitToPage="1"/>
  </sheetPr>
  <dimension ref="D2:O41"/>
  <sheetViews>
    <sheetView showGridLines="0" zoomScale="70" zoomScaleNormal="70" workbookViewId="0">
      <pane ySplit="4" topLeftCell="A5" activePane="bottomLeft" state="frozen"/>
      <selection pane="bottomLeft" activeCell="E6" sqref="E6"/>
    </sheetView>
  </sheetViews>
  <sheetFormatPr baseColWidth="10" defaultColWidth="11.44140625" defaultRowHeight="14.4" x14ac:dyDescent="0.3"/>
  <cols>
    <col min="4" max="4" width="36.6640625" bestFit="1" customWidth="1"/>
    <col min="6" max="6" width="13.88671875" bestFit="1" customWidth="1"/>
    <col min="8" max="8" width="36.6640625" bestFit="1" customWidth="1"/>
    <col min="10" max="10" width="13.88671875" bestFit="1" customWidth="1"/>
    <col min="12" max="12" width="25.109375" bestFit="1" customWidth="1"/>
    <col min="14" max="14" width="13.88671875" bestFit="1" customWidth="1"/>
  </cols>
  <sheetData>
    <row r="2" spans="4:15" ht="31.95" customHeight="1" x14ac:dyDescent="0.3">
      <c r="E2" s="93" t="s">
        <v>691</v>
      </c>
      <c r="F2" s="94"/>
      <c r="G2" s="94"/>
      <c r="H2" s="94"/>
      <c r="I2" s="94"/>
      <c r="J2" s="95"/>
    </row>
    <row r="4" spans="4:15" x14ac:dyDescent="0.3">
      <c r="D4" s="96"/>
      <c r="E4" s="96"/>
      <c r="F4" s="96"/>
      <c r="G4" s="96"/>
      <c r="H4" s="96"/>
      <c r="I4" s="96"/>
      <c r="J4" s="13"/>
      <c r="K4" s="96"/>
    </row>
    <row r="5" spans="4:15" x14ac:dyDescent="0.3">
      <c r="D5" s="13"/>
      <c r="E5" s="13"/>
      <c r="F5" s="13"/>
      <c r="G5" s="13"/>
      <c r="H5" s="13"/>
      <c r="I5" s="13"/>
      <c r="J5" s="13"/>
      <c r="K5" s="96"/>
    </row>
    <row r="6" spans="4:15" ht="17.399999999999999" x14ac:dyDescent="0.35">
      <c r="D6" s="68" t="s">
        <v>692</v>
      </c>
      <c r="E6" s="73">
        <f>COUNT('Liste usagers 2025'!A3:A368)</f>
        <v>170</v>
      </c>
      <c r="F6" s="67"/>
      <c r="G6" s="13"/>
      <c r="H6" s="99" t="s">
        <v>693</v>
      </c>
      <c r="I6" s="100"/>
      <c r="J6" s="34" t="s">
        <v>694</v>
      </c>
      <c r="K6" s="96"/>
      <c r="L6" s="89" t="s">
        <v>695</v>
      </c>
      <c r="M6" s="90"/>
      <c r="N6" s="35" t="s">
        <v>694</v>
      </c>
    </row>
    <row r="7" spans="4:15" x14ac:dyDescent="0.3">
      <c r="D7" s="13"/>
      <c r="E7" s="13"/>
      <c r="F7" s="13"/>
      <c r="G7" s="13"/>
      <c r="H7" s="17" t="s">
        <v>696</v>
      </c>
      <c r="I7" s="31" cm="1">
        <f t="array" ref="I7">SUM(COUNTIFS('Liste usagers 2025'!R$3:R$834, {"TSR";"CRIPA";"Gardiens de la Paix";"Pôle Assuétudes";"Pôle Jeunesse";"Prévention Vol";"Technoprévention"}))</f>
        <v>3</v>
      </c>
      <c r="J7" s="36">
        <f t="shared" ref="J7:J13" si="0">I7/$E$6</f>
        <v>1.7647058823529412E-2</v>
      </c>
      <c r="K7" s="96"/>
      <c r="L7" s="25" t="s">
        <v>392</v>
      </c>
      <c r="M7" s="41">
        <f>COUNTIF('Liste usagers 2025'!Y$3:Y834,"En cours")</f>
        <v>20</v>
      </c>
      <c r="N7" s="65">
        <f t="shared" ref="N7:N9" si="1">M7/$E$6</f>
        <v>0.11764705882352941</v>
      </c>
    </row>
    <row r="8" spans="4:15" ht="17.399999999999999" x14ac:dyDescent="0.35">
      <c r="D8" s="97" t="s">
        <v>697</v>
      </c>
      <c r="E8" s="98"/>
      <c r="F8" s="22" t="s">
        <v>694</v>
      </c>
      <c r="H8" s="17" t="s">
        <v>698</v>
      </c>
      <c r="I8" s="31" cm="1">
        <f t="array" ref="I8">SUM(COUNTIFS('Liste usagers 2025'!R$3:R$834, {"ULAC";"Syndicat des Locataires";"Foyer Anderlechtois";"Comensia"}))</f>
        <v>5</v>
      </c>
      <c r="J8" s="36">
        <f t="shared" si="0"/>
        <v>2.9411764705882353E-2</v>
      </c>
      <c r="L8" s="25" t="s">
        <v>652</v>
      </c>
      <c r="M8" s="41">
        <f>COUNTIF('Liste usagers 2025'!Y$3:Y834,"En attente")</f>
        <v>3</v>
      </c>
      <c r="N8" s="65">
        <f t="shared" si="1"/>
        <v>1.7647058823529412E-2</v>
      </c>
    </row>
    <row r="9" spans="4:15" x14ac:dyDescent="0.3">
      <c r="D9" s="14" t="s">
        <v>699</v>
      </c>
      <c r="E9" s="20">
        <f>COUNTIF('Liste usagers 2025'!V3:V368, "Individuelle")</f>
        <v>153</v>
      </c>
      <c r="F9" s="64">
        <f>IF($E$11=0, 0, E9/$E$11)</f>
        <v>0.94444444444444442</v>
      </c>
      <c r="H9" s="17" t="s">
        <v>700</v>
      </c>
      <c r="I9" s="31" cm="1">
        <f t="array" ref="I9">SUM(COUNTIFS('Liste usagers 2025'!R$3:R$834, {"Justice de Paix";"Police";"Foyer Anderlechtois";"Service de Médiation à la Police"}))</f>
        <v>16</v>
      </c>
      <c r="J9" s="36">
        <f t="shared" si="0"/>
        <v>9.4117647058823528E-2</v>
      </c>
      <c r="L9" s="26" t="s">
        <v>41</v>
      </c>
      <c r="M9" s="42">
        <f>COUNTIF('Liste usagers 2025'!Y$3:Y834,"Clôturé")</f>
        <v>146</v>
      </c>
      <c r="N9" s="66">
        <f t="shared" si="1"/>
        <v>0.85882352941176465</v>
      </c>
    </row>
    <row r="10" spans="4:15" x14ac:dyDescent="0.3">
      <c r="D10" s="14" t="s">
        <v>701</v>
      </c>
      <c r="E10" s="20">
        <f>COUNTIF('Liste usagers 2025'!V3:V368, "Collective")</f>
        <v>9</v>
      </c>
      <c r="F10" s="64">
        <f>IF($E$11=0, 0, E10/$E$11)</f>
        <v>5.5555555555555552E-2</v>
      </c>
      <c r="H10" s="17" t="s">
        <v>702</v>
      </c>
      <c r="I10" s="31" cm="1">
        <f t="array" ref="I10">SUM(COUNTIFS('Liste usagers 2025'!R$3:R$834, {"CPAS";"Service Séniors";"Espaces Verts";"Service Mobilité";"Services de Médiation (autres communes)";"Antenne LISA (Vaillance)";"Antenne LISA (Peterbos)"}))</f>
        <v>1</v>
      </c>
      <c r="J10" s="36">
        <f t="shared" si="0"/>
        <v>5.8823529411764705E-3</v>
      </c>
      <c r="L10" s="24" t="s">
        <v>703</v>
      </c>
      <c r="M10" s="28">
        <f>SUM(M7:M9)</f>
        <v>169</v>
      </c>
      <c r="N10" s="39">
        <f>SUM(N7:N9)</f>
        <v>0.99411764705882344</v>
      </c>
    </row>
    <row r="11" spans="4:15" x14ac:dyDescent="0.3">
      <c r="D11" s="24" t="s">
        <v>703</v>
      </c>
      <c r="E11" s="28">
        <f>SUM(E9:E10)</f>
        <v>162</v>
      </c>
      <c r="F11" s="39">
        <f>SUM(F9:F10)</f>
        <v>1</v>
      </c>
      <c r="H11" s="17" t="s">
        <v>704</v>
      </c>
      <c r="I11" s="31" cm="1">
        <f t="array" ref="I11">SUM(COUNTIFS('Liste usagers 2025'!R$3:R$834, {"PCS Albert";"Cactus";"Service Social de Cureghem";"CAW Westland";"Maison Médicale Horizon";"Maison Médicale Medikuregem"}))</f>
        <v>3</v>
      </c>
      <c r="J11" s="36">
        <f t="shared" si="0"/>
        <v>1.7647058823529412E-2</v>
      </c>
    </row>
    <row r="12" spans="4:15" ht="17.399999999999999" x14ac:dyDescent="0.35">
      <c r="D12" s="97" t="s">
        <v>705</v>
      </c>
      <c r="E12" s="98"/>
      <c r="F12" s="22" t="s">
        <v>694</v>
      </c>
      <c r="H12" s="17" t="s">
        <v>37</v>
      </c>
      <c r="I12" s="31">
        <f>COUNTIF('Liste usagers 2025'!R$3:R834,"Demande spontanée")</f>
        <v>83</v>
      </c>
      <c r="J12" s="36">
        <f t="shared" si="0"/>
        <v>0.48823529411764705</v>
      </c>
    </row>
    <row r="13" spans="4:15" ht="17.399999999999999" x14ac:dyDescent="0.35">
      <c r="D13" s="14" t="s">
        <v>706</v>
      </c>
      <c r="E13" s="20">
        <f>COUNTIF('Liste usagers 2025'!$H$3:H871,"Cureghem")</f>
        <v>28</v>
      </c>
      <c r="F13" s="64">
        <f>E13/$E$21</f>
        <v>0.25925925925925924</v>
      </c>
      <c r="H13" s="18" t="s">
        <v>21</v>
      </c>
      <c r="I13" s="32">
        <f>COUNTIF('Liste usagers 2025'!R$3:R834,"Autres")</f>
        <v>0</v>
      </c>
      <c r="J13" s="37">
        <f t="shared" si="0"/>
        <v>0</v>
      </c>
      <c r="L13" s="91" t="s">
        <v>707</v>
      </c>
      <c r="M13" s="92"/>
      <c r="N13" s="47" t="s">
        <v>694</v>
      </c>
    </row>
    <row r="14" spans="4:15" x14ac:dyDescent="0.3">
      <c r="D14" s="14" t="s">
        <v>708</v>
      </c>
      <c r="E14" s="20">
        <f>COUNTIF('Liste usagers 2025'!$H$3:H873,"Industrie")</f>
        <v>0</v>
      </c>
      <c r="F14" s="64">
        <f t="shared" ref="F14:F19" si="2">E14/$E$21</f>
        <v>0</v>
      </c>
      <c r="H14" s="24" t="s">
        <v>703</v>
      </c>
      <c r="I14" s="28">
        <f>SUM(I7:I13)</f>
        <v>111</v>
      </c>
      <c r="J14" s="39">
        <f>SUM(J7:J13)</f>
        <v>0.65294117647058825</v>
      </c>
      <c r="L14" s="104" t="s">
        <v>6</v>
      </c>
      <c r="M14" s="105"/>
      <c r="N14" s="106"/>
    </row>
    <row r="15" spans="4:15" x14ac:dyDescent="0.3">
      <c r="D15" s="14" t="s">
        <v>709</v>
      </c>
      <c r="E15" s="20">
        <f>COUNTIF('Liste usagers 2025'!$H$3:H874,"Vaillance")</f>
        <v>23</v>
      </c>
      <c r="F15" s="64">
        <f t="shared" si="2"/>
        <v>0.21296296296296297</v>
      </c>
      <c r="L15" s="43" t="s">
        <v>29</v>
      </c>
      <c r="M15" s="44">
        <f>COUNTIF('Liste usagers 2025'!$D$3:D834,"Homme")</f>
        <v>69</v>
      </c>
      <c r="N15" s="45">
        <f>M15/$M$18</f>
        <v>0.42857142857142855</v>
      </c>
    </row>
    <row r="16" spans="4:15" ht="17.399999999999999" x14ac:dyDescent="0.35">
      <c r="D16" s="14" t="s">
        <v>710</v>
      </c>
      <c r="E16" s="20">
        <f>COUNTIF('Liste usagers 2025'!$H$3:H875,"Scheut")</f>
        <v>21</v>
      </c>
      <c r="F16" s="64">
        <f t="shared" si="2"/>
        <v>0.19444444444444445</v>
      </c>
      <c r="H16" s="46" t="s">
        <v>2</v>
      </c>
      <c r="I16" s="23"/>
      <c r="J16" s="23" t="s">
        <v>694</v>
      </c>
      <c r="L16" s="43" t="s">
        <v>53</v>
      </c>
      <c r="M16" s="44">
        <f>COUNTIF('Liste usagers 2025'!$D$3:D835,"Femme")</f>
        <v>92</v>
      </c>
      <c r="N16" s="45">
        <f>M16/$M$18</f>
        <v>0.5714285714285714</v>
      </c>
      <c r="O16" s="40"/>
    </row>
    <row r="17" spans="4:14" x14ac:dyDescent="0.3">
      <c r="D17" s="14" t="s">
        <v>711</v>
      </c>
      <c r="E17" s="20">
        <f>COUNTIF('Liste usagers 2025'!$H$3:H876,"Parc")</f>
        <v>14</v>
      </c>
      <c r="F17" s="64">
        <f t="shared" si="2"/>
        <v>0.12962962962962962</v>
      </c>
      <c r="H17" s="101" t="s">
        <v>712</v>
      </c>
      <c r="I17" s="102"/>
      <c r="J17" s="103"/>
      <c r="L17" s="43" t="s">
        <v>713</v>
      </c>
      <c r="M17" s="44">
        <f>COUNTIF('Liste usagers 2025'!$D$3:D836,"X")</f>
        <v>0</v>
      </c>
      <c r="N17" s="45">
        <f>M17/$M$18</f>
        <v>0</v>
      </c>
    </row>
    <row r="18" spans="4:14" x14ac:dyDescent="0.3">
      <c r="D18" s="14" t="s">
        <v>714</v>
      </c>
      <c r="E18" s="20">
        <f>COUNTIF('Liste usagers 2025'!$H$3:H877,"Peterbos")</f>
        <v>11</v>
      </c>
      <c r="F18" s="64">
        <f t="shared" si="2"/>
        <v>0.10185185185185185</v>
      </c>
      <c r="H18" s="19" t="s">
        <v>696</v>
      </c>
      <c r="I18" s="27" cm="1">
        <f t="array" ref="I18">SUM(COUNTIFS('Liste usagers 2025'!T$3:T$834, {"TSR";"CRIPA";"Gardiens de la Paix";"Pôle Assuétudes";"Pôle Jeunesse";"Prévention Vol";"Technoprévention"}))</f>
        <v>9</v>
      </c>
      <c r="J18" s="38">
        <f>I18/$I$24</f>
        <v>0.5625</v>
      </c>
      <c r="L18" s="24" t="s">
        <v>703</v>
      </c>
      <c r="M18" s="28">
        <f>SUM(M15:M17)</f>
        <v>161</v>
      </c>
      <c r="N18" s="39">
        <f>SUM(N15:N17)</f>
        <v>1</v>
      </c>
    </row>
    <row r="19" spans="4:14" x14ac:dyDescent="0.3">
      <c r="D19" s="14" t="s">
        <v>262</v>
      </c>
      <c r="E19" s="20">
        <f>COUNTIF('Liste usagers 2025'!$H$3:H878,"La Roue")</f>
        <v>8</v>
      </c>
      <c r="F19" s="64">
        <f t="shared" si="2"/>
        <v>7.407407407407407E-2</v>
      </c>
      <c r="H19" s="19" t="s">
        <v>698</v>
      </c>
      <c r="I19" s="27" cm="1">
        <f t="array" ref="I19">SUM(COUNTIFS('Liste usagers 2025'!T$3:T$834, {"ULAC";"Syndicat des Locataires";"Foyer Anderlechtois";"Comensia"}))</f>
        <v>1</v>
      </c>
      <c r="J19" s="38">
        <f t="shared" ref="J19:J22" si="3">I19/$I$24</f>
        <v>6.25E-2</v>
      </c>
      <c r="L19" s="104" t="s">
        <v>7</v>
      </c>
      <c r="M19" s="105"/>
      <c r="N19" s="106"/>
    </row>
    <row r="20" spans="4:14" x14ac:dyDescent="0.3">
      <c r="D20" s="14" t="s">
        <v>715</v>
      </c>
      <c r="E20" s="20">
        <f>COUNTIF('Liste usagers 2025'!$H$3:H879,"Neerpede")</f>
        <v>3</v>
      </c>
      <c r="F20" s="64">
        <f>E20/$E$21</f>
        <v>2.7777777777777776E-2</v>
      </c>
      <c r="H20" s="19" t="s">
        <v>700</v>
      </c>
      <c r="I20" s="27" cm="1">
        <f t="array" ref="I20">SUM(COUNTIFS('Liste usagers 2025'!T$3:T$834, {"Justice de Paix";"Police";"Foyer Anderlechtois";"Service de Médiation à la Police"}))</f>
        <v>5</v>
      </c>
      <c r="J20" s="38">
        <f t="shared" si="3"/>
        <v>0.3125</v>
      </c>
      <c r="L20" s="48" t="s">
        <v>716</v>
      </c>
      <c r="M20" s="49">
        <f>COUNTIF('Liste usagers 2025'!$E$3:E834,"Moins de 18 ans")</f>
        <v>0</v>
      </c>
      <c r="N20" s="59">
        <f>IF($M$24=0, 0, M20/$M$24)</f>
        <v>0</v>
      </c>
    </row>
    <row r="21" spans="4:14" x14ac:dyDescent="0.3">
      <c r="D21" s="24" t="s">
        <v>703</v>
      </c>
      <c r="E21" s="28">
        <f>SUM(E13:E20)</f>
        <v>108</v>
      </c>
      <c r="F21" s="39">
        <f>E21/$E$21</f>
        <v>1</v>
      </c>
      <c r="H21" s="19" t="s">
        <v>702</v>
      </c>
      <c r="I21" s="27" cm="1">
        <f t="array" ref="I21">SUM(COUNTIFS('Liste usagers 2025'!T$3:T$834, {"CPAS";"Service Séniors";"Espaces Verts";"Service Mobilité";"Services de Médiation (autres communes)";"Antenne LISA (Vaillance)";"Antenne LISA (Peterbos)"}))</f>
        <v>0</v>
      </c>
      <c r="J21" s="38">
        <f t="shared" si="3"/>
        <v>0</v>
      </c>
      <c r="L21" s="43" t="s">
        <v>54</v>
      </c>
      <c r="M21" s="50">
        <f>COUNTIF('Liste usagers 2025'!$E$3:$E$834,"18 - 30 ans")</f>
        <v>7</v>
      </c>
      <c r="N21" s="61">
        <f>IF($M$24=0, 0, M21/$M$24)</f>
        <v>4.9645390070921988E-2</v>
      </c>
    </row>
    <row r="22" spans="4:14" x14ac:dyDescent="0.3">
      <c r="H22" s="19" t="s">
        <v>704</v>
      </c>
      <c r="I22" s="27" cm="1">
        <f t="array" ref="I22">SUM(COUNTIFS('Liste usagers 2025'!T$3:T$834, {"PCS Albert";"Cactus";"Service Social de Cureghem";"CAW Westland";"Maison Médicale Horizon";"Maison Médicale Medikuregem"}))</f>
        <v>1</v>
      </c>
      <c r="J22" s="38">
        <f t="shared" si="3"/>
        <v>6.25E-2</v>
      </c>
      <c r="L22" s="43" t="s">
        <v>30</v>
      </c>
      <c r="M22" s="44">
        <f>COUNTIF('Liste usagers 2025'!$E$3:$E$834,"30 - 50 ans")</f>
        <v>91</v>
      </c>
      <c r="N22" s="61">
        <f>IF($M$24=0, 0, M22/$M$24)</f>
        <v>0.64539007092198586</v>
      </c>
    </row>
    <row r="23" spans="4:14" ht="17.399999999999999" x14ac:dyDescent="0.35">
      <c r="D23" s="107" t="s">
        <v>717</v>
      </c>
      <c r="E23" s="108"/>
      <c r="F23" s="33" t="s">
        <v>694</v>
      </c>
      <c r="H23" s="19" t="s">
        <v>21</v>
      </c>
      <c r="I23" s="27">
        <f>COUNTIF('Liste usagers 2025'!R$3:R$834,"Autres")</f>
        <v>0</v>
      </c>
      <c r="J23" s="38">
        <f>I23/$I$24</f>
        <v>0</v>
      </c>
      <c r="L23" s="43" t="s">
        <v>90</v>
      </c>
      <c r="M23" s="44">
        <f>COUNTIF('Liste usagers 2025'!$E$3:E834,"50 ans et +")</f>
        <v>43</v>
      </c>
      <c r="N23" s="61">
        <f>IF($M$24=0, 0, M23/$M$24)</f>
        <v>0.30496453900709219</v>
      </c>
    </row>
    <row r="24" spans="4:14" x14ac:dyDescent="0.3">
      <c r="D24" s="21" t="s">
        <v>58</v>
      </c>
      <c r="E24" s="29">
        <f>COUNTIF('Liste usagers 2025'!P$3:P834,"Conflits de voisinage")</f>
        <v>82</v>
      </c>
      <c r="F24" s="62">
        <f>E24/$E$6</f>
        <v>0.4823529411764706</v>
      </c>
      <c r="H24" s="24" t="s">
        <v>703</v>
      </c>
      <c r="I24" s="28">
        <f>SUM(I18:I23)</f>
        <v>16</v>
      </c>
      <c r="J24" s="39">
        <f>I24/$I$24</f>
        <v>1</v>
      </c>
      <c r="L24" s="24" t="s">
        <v>703</v>
      </c>
      <c r="M24" s="28">
        <f>SUM(M20:M23)</f>
        <v>141</v>
      </c>
      <c r="N24" s="60">
        <f>SUM(N20:N23)</f>
        <v>1</v>
      </c>
    </row>
    <row r="25" spans="4:14" x14ac:dyDescent="0.3">
      <c r="D25" s="15" t="s">
        <v>718</v>
      </c>
      <c r="E25" s="29">
        <f>COUNTIF('Liste usagers 2025'!P$3:P834,"Conflits riverains/HORECA")</f>
        <v>0</v>
      </c>
      <c r="F25" s="62">
        <f t="shared" ref="F25:F31" si="4">E25/$E$6</f>
        <v>0</v>
      </c>
      <c r="H25" s="101" t="s">
        <v>24</v>
      </c>
      <c r="I25" s="102"/>
      <c r="J25" s="103"/>
    </row>
    <row r="26" spans="4:14" x14ac:dyDescent="0.3">
      <c r="D26" s="15" t="s">
        <v>719</v>
      </c>
      <c r="E26" s="29">
        <f>COUNTIF('Liste usagers 2025'!P$3:P834,"Conflits familiaux/ Conjugaux")</f>
        <v>16</v>
      </c>
      <c r="F26" s="62">
        <f t="shared" si="4"/>
        <v>9.4117647058823528E-2</v>
      </c>
      <c r="H26" s="19" t="s">
        <v>696</v>
      </c>
      <c r="I26" s="27" cm="1">
        <f t="array" ref="I26">SUM(COUNTIFS('Liste usagers 2025'!W$3:W$834, {"TSR";"CRIPA";"Gardiens de la Paix";"Pôle Assuétudes";"Pôle Jeunesse";"Prévention Vol";"Technoprévention"}))</f>
        <v>10</v>
      </c>
      <c r="J26" s="38">
        <f>I26/$E$6</f>
        <v>5.8823529411764705E-2</v>
      </c>
    </row>
    <row r="27" spans="4:14" x14ac:dyDescent="0.3">
      <c r="D27" s="15" t="s">
        <v>720</v>
      </c>
      <c r="E27" s="29">
        <f>COUNTIF('Liste usagers 2025'!P$3:P834,"Conflits locatifs")</f>
        <v>31</v>
      </c>
      <c r="F27" s="62">
        <f t="shared" si="4"/>
        <v>0.18235294117647058</v>
      </c>
      <c r="H27" s="19" t="s">
        <v>698</v>
      </c>
      <c r="I27" s="27" cm="1">
        <f t="array" ref="I27">SUM(COUNTIFS('Liste usagers 2025'!W$3:W$834, {"ULAC";"Syndicat des Locataires";"Foyer Anderlechtois";"Comensia"}))</f>
        <v>1</v>
      </c>
      <c r="J27" s="38">
        <f t="shared" ref="J27:J30" si="5">I27/$E$6</f>
        <v>5.8823529411764705E-3</v>
      </c>
    </row>
    <row r="28" spans="4:14" x14ac:dyDescent="0.3">
      <c r="D28" s="15" t="s">
        <v>48</v>
      </c>
      <c r="E28" s="29">
        <f>COUNTIF('Liste usagers 2025'!P$3:P834,"Copropriété")</f>
        <v>12</v>
      </c>
      <c r="F28" s="62">
        <f t="shared" si="4"/>
        <v>7.0588235294117646E-2</v>
      </c>
      <c r="H28" s="19" t="s">
        <v>700</v>
      </c>
      <c r="I28" s="27" cm="1">
        <f t="array" ref="I28">SUM(COUNTIFS('Liste usagers 2025'!R$3:R$834, {"Justice de Paix";"Police";"Foyer Anderlechtois";"Service de Médiation à la Police"}))</f>
        <v>16</v>
      </c>
      <c r="J28" s="38">
        <f t="shared" si="5"/>
        <v>9.4117647058823528E-2</v>
      </c>
    </row>
    <row r="29" spans="4:14" x14ac:dyDescent="0.3">
      <c r="D29" s="15" t="s">
        <v>232</v>
      </c>
      <c r="E29" s="29">
        <f>COUNTIF('Liste usagers 2025'!P$3:P834,"Conflits en lien avec l'espace public")</f>
        <v>1</v>
      </c>
      <c r="F29" s="62">
        <f t="shared" si="4"/>
        <v>5.8823529411764705E-3</v>
      </c>
      <c r="H29" s="19" t="s">
        <v>702</v>
      </c>
      <c r="I29" s="27" cm="1">
        <f t="array" ref="I29">SUM(COUNTIFS('Liste usagers 2025'!W$3:W$834, {"CPAS";"Service Séniors";"Espaces Verts";"Service Mobilité";"Services de Médiation (autres communes)";"Antenne LISA (Vaillance)";"Antenne LISA (Peterbos)"}))</f>
        <v>0</v>
      </c>
      <c r="J29" s="38">
        <f t="shared" si="5"/>
        <v>0</v>
      </c>
    </row>
    <row r="30" spans="4:14" x14ac:dyDescent="0.3">
      <c r="D30" s="15" t="s">
        <v>721</v>
      </c>
      <c r="E30" s="29">
        <f>COUNTIF('Liste usagers 2025'!P$3:P834,"Cohabitation/Colocation")</f>
        <v>1</v>
      </c>
      <c r="F30" s="62">
        <f t="shared" si="4"/>
        <v>5.8823529411764705E-3</v>
      </c>
      <c r="H30" s="19" t="s">
        <v>704</v>
      </c>
      <c r="I30" s="27" cm="1">
        <f t="array" ref="I30">SUM(COUNTIFS('Liste usagers 2025'!W$3:W$834, {"PCS Albert";"Cactus";"Service Social de Cureghem";"CAW Westland";"Maison Médicale Horizon";"Maison Médicale Medikuregem"}))</f>
        <v>1</v>
      </c>
      <c r="J30" s="38">
        <f t="shared" si="5"/>
        <v>5.8823529411764705E-3</v>
      </c>
    </row>
    <row r="31" spans="4:14" x14ac:dyDescent="0.3">
      <c r="D31" s="16" t="s">
        <v>71</v>
      </c>
      <c r="E31" s="30">
        <f>COUNTIF('Liste usagers 2025'!P$3:P834,"Autres conflits")</f>
        <v>19</v>
      </c>
      <c r="F31" s="63">
        <f t="shared" si="4"/>
        <v>0.11176470588235295</v>
      </c>
      <c r="H31" s="19" t="s">
        <v>21</v>
      </c>
      <c r="I31" s="27">
        <f>COUNTIF('Liste usagers 2025'!W$3:W834,"Autres")</f>
        <v>1</v>
      </c>
      <c r="J31" s="38">
        <f>I31/$E$6</f>
        <v>5.8823529411764705E-3</v>
      </c>
    </row>
    <row r="32" spans="4:14" x14ac:dyDescent="0.3">
      <c r="D32" s="24" t="s">
        <v>703</v>
      </c>
      <c r="E32" s="28">
        <f>SUM(E24:E31)</f>
        <v>162</v>
      </c>
      <c r="F32" s="39">
        <f>SUM(F24:F31)</f>
        <v>0.95294117647058818</v>
      </c>
      <c r="H32" s="24" t="s">
        <v>703</v>
      </c>
      <c r="I32" s="28">
        <f>SUM(I26:I31)</f>
        <v>29</v>
      </c>
      <c r="J32" s="39">
        <f>SUM(J26:J31)</f>
        <v>0.17058823529411765</v>
      </c>
    </row>
    <row r="33" spans="8:10" x14ac:dyDescent="0.3">
      <c r="H33" s="101" t="s">
        <v>722</v>
      </c>
      <c r="I33" s="102"/>
      <c r="J33" s="103"/>
    </row>
    <row r="34" spans="8:10" x14ac:dyDescent="0.3">
      <c r="H34" s="19" t="s">
        <v>66</v>
      </c>
      <c r="I34" s="27">
        <f>COUNTIF('Liste usagers 2025'!Z$3:Z834,"Impossibilité technique (non-joignables)")</f>
        <v>27</v>
      </c>
      <c r="J34" s="38">
        <f>I34/$I$41</f>
        <v>0.2125984251968504</v>
      </c>
    </row>
    <row r="35" spans="8:10" x14ac:dyDescent="0.3">
      <c r="H35" s="19" t="s">
        <v>723</v>
      </c>
      <c r="I35" s="27">
        <f>COUNTIF('Liste usagers 2025'!Z$3:Z834,"Refus (de l'une partie ou des deux)")</f>
        <v>31</v>
      </c>
      <c r="J35" s="38">
        <f t="shared" ref="J35:J40" si="6">I35/$I$41</f>
        <v>0.24409448818897639</v>
      </c>
    </row>
    <row r="36" spans="8:10" x14ac:dyDescent="0.3">
      <c r="H36" s="19" t="s">
        <v>42</v>
      </c>
      <c r="I36" s="27">
        <f>COUNTIF('Liste usagers 2025'!Z$3:Z834,"Réorientation")</f>
        <v>41</v>
      </c>
      <c r="J36" s="38">
        <f t="shared" si="6"/>
        <v>0.32283464566929132</v>
      </c>
    </row>
    <row r="37" spans="8:10" x14ac:dyDescent="0.3">
      <c r="H37" s="19" t="s">
        <v>108</v>
      </c>
      <c r="I37" s="27">
        <f>COUNTIF('Liste usagers 2025'!Z$3:Z834,"Interruption du processus de médiation")</f>
        <v>11</v>
      </c>
      <c r="J37" s="38">
        <f t="shared" si="6"/>
        <v>8.6614173228346455E-2</v>
      </c>
    </row>
    <row r="38" spans="8:10" x14ac:dyDescent="0.3">
      <c r="H38" s="19" t="s">
        <v>50</v>
      </c>
      <c r="I38" s="27">
        <f>COUNTIF('Liste usagers 2025'!Z$3:Z834,"Apaisement")</f>
        <v>6</v>
      </c>
      <c r="J38" s="38">
        <f t="shared" si="6"/>
        <v>4.7244094488188976E-2</v>
      </c>
    </row>
    <row r="39" spans="8:10" x14ac:dyDescent="0.3">
      <c r="H39" s="19" t="s">
        <v>134</v>
      </c>
      <c r="I39" s="27">
        <f>COUNTIF('Liste usagers 2025'!Z$3:Z834,"Accord écrit")</f>
        <v>2</v>
      </c>
      <c r="J39" s="38">
        <f t="shared" si="6"/>
        <v>1.5748031496062992E-2</v>
      </c>
    </row>
    <row r="40" spans="8:10" x14ac:dyDescent="0.3">
      <c r="H40" s="19" t="s">
        <v>250</v>
      </c>
      <c r="I40" s="27">
        <f>COUNTIF('Liste usagers 2025'!Z$3:Z834,"Accord verbal")</f>
        <v>9</v>
      </c>
      <c r="J40" s="38">
        <f t="shared" si="6"/>
        <v>7.0866141732283464E-2</v>
      </c>
    </row>
    <row r="41" spans="8:10" x14ac:dyDescent="0.3">
      <c r="H41" s="24" t="s">
        <v>703</v>
      </c>
      <c r="I41" s="28">
        <f>SUM(I34:I40)</f>
        <v>127</v>
      </c>
      <c r="J41" s="39">
        <f>SUM(J34:J40)</f>
        <v>0.99999999999999989</v>
      </c>
    </row>
  </sheetData>
  <sheetProtection sheet="1" objects="1" scenarios="1"/>
  <mergeCells count="15">
    <mergeCell ref="H33:J33"/>
    <mergeCell ref="L19:N19"/>
    <mergeCell ref="L14:N14"/>
    <mergeCell ref="D12:E12"/>
    <mergeCell ref="D23:E23"/>
    <mergeCell ref="H17:J17"/>
    <mergeCell ref="H25:J25"/>
    <mergeCell ref="L6:M6"/>
    <mergeCell ref="L13:M13"/>
    <mergeCell ref="E2:J2"/>
    <mergeCell ref="D4:G4"/>
    <mergeCell ref="H4:I4"/>
    <mergeCell ref="K4:K7"/>
    <mergeCell ref="D8:E8"/>
    <mergeCell ref="H6:I6"/>
  </mergeCells>
  <printOptions gridLines="1"/>
  <pageMargins left="0.7" right="0.7" top="0.75" bottom="0.75" header="0.3" footer="0.3"/>
  <pageSetup paperSize="9" fitToHeight="0" orientation="portrait" blackAndWhite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B724-1B5A-46F8-B757-121F646D439B}">
  <dimension ref="A1:D527"/>
  <sheetViews>
    <sheetView showGridLines="0" workbookViewId="0">
      <selection activeCell="C15" sqref="C15"/>
    </sheetView>
  </sheetViews>
  <sheetFormatPr baseColWidth="10" defaultColWidth="11.44140625" defaultRowHeight="15.6" x14ac:dyDescent="0.3"/>
  <cols>
    <col min="1" max="1" width="37.6640625" bestFit="1" customWidth="1"/>
    <col min="3" max="3" width="37.33203125" style="58" bestFit="1" customWidth="1"/>
    <col min="4" max="4" width="20.6640625" style="58" bestFit="1" customWidth="1"/>
  </cols>
  <sheetData>
    <row r="1" spans="1:4" x14ac:dyDescent="0.3">
      <c r="A1" t="s">
        <v>7</v>
      </c>
      <c r="C1" s="51" t="s">
        <v>86</v>
      </c>
      <c r="D1" s="51" t="s">
        <v>724</v>
      </c>
    </row>
    <row r="2" spans="1:4" x14ac:dyDescent="0.3">
      <c r="A2" t="s">
        <v>725</v>
      </c>
      <c r="C2" s="69" t="s">
        <v>726</v>
      </c>
      <c r="D2" s="52" t="s">
        <v>727</v>
      </c>
    </row>
    <row r="3" spans="1:4" x14ac:dyDescent="0.3">
      <c r="A3" t="s">
        <v>54</v>
      </c>
      <c r="C3" s="53" t="s">
        <v>728</v>
      </c>
      <c r="D3" s="53" t="s">
        <v>706</v>
      </c>
    </row>
    <row r="4" spans="1:4" x14ac:dyDescent="0.3">
      <c r="A4" t="s">
        <v>30</v>
      </c>
      <c r="C4" s="69" t="s">
        <v>729</v>
      </c>
      <c r="D4" s="53" t="s">
        <v>706</v>
      </c>
    </row>
    <row r="5" spans="1:4" x14ac:dyDescent="0.3">
      <c r="A5" t="s">
        <v>90</v>
      </c>
      <c r="C5" s="69" t="s">
        <v>730</v>
      </c>
      <c r="D5" s="53" t="s">
        <v>706</v>
      </c>
    </row>
    <row r="6" spans="1:4" x14ac:dyDescent="0.3">
      <c r="C6" s="69" t="s">
        <v>295</v>
      </c>
      <c r="D6" s="53" t="s">
        <v>706</v>
      </c>
    </row>
    <row r="7" spans="1:4" x14ac:dyDescent="0.3">
      <c r="C7" s="69" t="s">
        <v>731</v>
      </c>
      <c r="D7" s="53" t="s">
        <v>706</v>
      </c>
    </row>
    <row r="8" spans="1:4" x14ac:dyDescent="0.3">
      <c r="C8" s="69" t="s">
        <v>482</v>
      </c>
      <c r="D8" s="53" t="s">
        <v>706</v>
      </c>
    </row>
    <row r="9" spans="1:4" x14ac:dyDescent="0.3">
      <c r="C9" s="69" t="s">
        <v>732</v>
      </c>
      <c r="D9" s="53" t="s">
        <v>706</v>
      </c>
    </row>
    <row r="10" spans="1:4" x14ac:dyDescent="0.3">
      <c r="A10" t="s">
        <v>6</v>
      </c>
      <c r="C10" s="53" t="s">
        <v>733</v>
      </c>
      <c r="D10" s="53" t="s">
        <v>706</v>
      </c>
    </row>
    <row r="11" spans="1:4" x14ac:dyDescent="0.3">
      <c r="A11" t="s">
        <v>29</v>
      </c>
      <c r="C11" s="69" t="s">
        <v>734</v>
      </c>
      <c r="D11" s="53" t="s">
        <v>706</v>
      </c>
    </row>
    <row r="12" spans="1:4" x14ac:dyDescent="0.3">
      <c r="A12" t="s">
        <v>53</v>
      </c>
      <c r="C12" s="69" t="s">
        <v>270</v>
      </c>
      <c r="D12" s="53" t="s">
        <v>706</v>
      </c>
    </row>
    <row r="13" spans="1:4" x14ac:dyDescent="0.3">
      <c r="A13" t="s">
        <v>735</v>
      </c>
      <c r="C13" s="69" t="s">
        <v>736</v>
      </c>
      <c r="D13" s="53" t="s">
        <v>706</v>
      </c>
    </row>
    <row r="14" spans="1:4" x14ac:dyDescent="0.3">
      <c r="C14" s="69" t="s">
        <v>737</v>
      </c>
      <c r="D14" s="53" t="s">
        <v>706</v>
      </c>
    </row>
    <row r="15" spans="1:4" x14ac:dyDescent="0.3">
      <c r="C15" s="69" t="s">
        <v>738</v>
      </c>
      <c r="D15" s="53" t="s">
        <v>706</v>
      </c>
    </row>
    <row r="16" spans="1:4" x14ac:dyDescent="0.3">
      <c r="A16" t="s">
        <v>23</v>
      </c>
      <c r="C16" s="69" t="s">
        <v>527</v>
      </c>
      <c r="D16" s="53" t="s">
        <v>706</v>
      </c>
    </row>
    <row r="17" spans="1:4" x14ac:dyDescent="0.3">
      <c r="A17" t="s">
        <v>40</v>
      </c>
      <c r="C17" s="69" t="s">
        <v>739</v>
      </c>
      <c r="D17" s="53" t="s">
        <v>706</v>
      </c>
    </row>
    <row r="18" spans="1:4" x14ac:dyDescent="0.3">
      <c r="A18" t="s">
        <v>236</v>
      </c>
      <c r="C18" s="69" t="s">
        <v>740</v>
      </c>
      <c r="D18" s="53" t="s">
        <v>706</v>
      </c>
    </row>
    <row r="19" spans="1:4" x14ac:dyDescent="0.3">
      <c r="C19" s="69" t="s">
        <v>741</v>
      </c>
      <c r="D19" s="53" t="s">
        <v>706</v>
      </c>
    </row>
    <row r="20" spans="1:4" x14ac:dyDescent="0.3">
      <c r="A20" t="s">
        <v>742</v>
      </c>
      <c r="C20" s="69" t="s">
        <v>400</v>
      </c>
      <c r="D20" s="53" t="s">
        <v>706</v>
      </c>
    </row>
    <row r="21" spans="1:4" x14ac:dyDescent="0.3">
      <c r="A21" t="s">
        <v>743</v>
      </c>
      <c r="C21" s="52" t="s">
        <v>744</v>
      </c>
      <c r="D21" s="53" t="s">
        <v>706</v>
      </c>
    </row>
    <row r="22" spans="1:4" x14ac:dyDescent="0.3">
      <c r="A22" t="s">
        <v>745</v>
      </c>
      <c r="C22" s="69" t="s">
        <v>746</v>
      </c>
      <c r="D22" s="53" t="s">
        <v>706</v>
      </c>
    </row>
    <row r="23" spans="1:4" x14ac:dyDescent="0.3">
      <c r="A23" t="s">
        <v>747</v>
      </c>
      <c r="C23" s="69" t="s">
        <v>289</v>
      </c>
      <c r="D23" s="53" t="s">
        <v>706</v>
      </c>
    </row>
    <row r="24" spans="1:4" x14ac:dyDescent="0.3">
      <c r="A24" t="s">
        <v>276</v>
      </c>
      <c r="C24" s="69" t="s">
        <v>748</v>
      </c>
      <c r="D24" s="53" t="s">
        <v>706</v>
      </c>
    </row>
    <row r="25" spans="1:4" x14ac:dyDescent="0.3">
      <c r="A25" t="s">
        <v>749</v>
      </c>
      <c r="C25" s="69" t="s">
        <v>750</v>
      </c>
      <c r="D25" s="53" t="s">
        <v>706</v>
      </c>
    </row>
    <row r="26" spans="1:4" x14ac:dyDescent="0.3">
      <c r="A26" t="s">
        <v>365</v>
      </c>
      <c r="C26" s="69" t="s">
        <v>751</v>
      </c>
      <c r="D26" s="53" t="s">
        <v>706</v>
      </c>
    </row>
    <row r="27" spans="1:4" x14ac:dyDescent="0.3">
      <c r="A27" t="s">
        <v>299</v>
      </c>
      <c r="C27" s="69" t="s">
        <v>752</v>
      </c>
      <c r="D27" s="53" t="s">
        <v>706</v>
      </c>
    </row>
    <row r="28" spans="1:4" x14ac:dyDescent="0.3">
      <c r="A28" t="s">
        <v>60</v>
      </c>
      <c r="C28" s="69" t="s">
        <v>753</v>
      </c>
      <c r="D28" s="53" t="s">
        <v>706</v>
      </c>
    </row>
    <row r="29" spans="1:4" x14ac:dyDescent="0.3">
      <c r="A29" t="s">
        <v>37</v>
      </c>
      <c r="C29" s="69" t="s">
        <v>754</v>
      </c>
      <c r="D29" s="53" t="s">
        <v>706</v>
      </c>
    </row>
    <row r="30" spans="1:4" x14ac:dyDescent="0.3">
      <c r="A30" t="s">
        <v>505</v>
      </c>
      <c r="C30" s="69" t="s">
        <v>755</v>
      </c>
      <c r="D30" s="53" t="s">
        <v>706</v>
      </c>
    </row>
    <row r="31" spans="1:4" x14ac:dyDescent="0.3">
      <c r="A31" t="s">
        <v>213</v>
      </c>
      <c r="C31" s="69" t="s">
        <v>519</v>
      </c>
      <c r="D31" s="53" t="s">
        <v>706</v>
      </c>
    </row>
    <row r="32" spans="1:4" x14ac:dyDescent="0.3">
      <c r="A32" t="s">
        <v>235</v>
      </c>
      <c r="C32" s="69" t="s">
        <v>756</v>
      </c>
      <c r="D32" s="53" t="s">
        <v>706</v>
      </c>
    </row>
    <row r="33" spans="1:4" x14ac:dyDescent="0.3">
      <c r="A33" t="s">
        <v>132</v>
      </c>
      <c r="C33" s="69" t="s">
        <v>757</v>
      </c>
      <c r="D33" s="53" t="s">
        <v>706</v>
      </c>
    </row>
    <row r="34" spans="1:4" x14ac:dyDescent="0.3">
      <c r="A34" t="s">
        <v>758</v>
      </c>
      <c r="C34" s="69" t="s">
        <v>759</v>
      </c>
      <c r="D34" s="53" t="s">
        <v>706</v>
      </c>
    </row>
    <row r="35" spans="1:4" x14ac:dyDescent="0.3">
      <c r="A35" t="s">
        <v>760</v>
      </c>
      <c r="C35" s="69" t="s">
        <v>761</v>
      </c>
      <c r="D35" s="53" t="s">
        <v>706</v>
      </c>
    </row>
    <row r="36" spans="1:4" x14ac:dyDescent="0.3">
      <c r="A36" t="s">
        <v>762</v>
      </c>
      <c r="C36" s="69" t="s">
        <v>763</v>
      </c>
      <c r="D36" s="53" t="s">
        <v>706</v>
      </c>
    </row>
    <row r="37" spans="1:4" x14ac:dyDescent="0.3">
      <c r="A37" t="s">
        <v>446</v>
      </c>
      <c r="C37" s="69" t="s">
        <v>764</v>
      </c>
      <c r="D37" s="53" t="s">
        <v>706</v>
      </c>
    </row>
    <row r="38" spans="1:4" x14ac:dyDescent="0.3">
      <c r="A38" t="s">
        <v>765</v>
      </c>
      <c r="C38" s="69" t="s">
        <v>591</v>
      </c>
      <c r="D38" s="53" t="s">
        <v>706</v>
      </c>
    </row>
    <row r="39" spans="1:4" x14ac:dyDescent="0.3">
      <c r="A39" t="s">
        <v>107</v>
      </c>
      <c r="C39" s="69" t="s">
        <v>766</v>
      </c>
      <c r="D39" s="53" t="s">
        <v>706</v>
      </c>
    </row>
    <row r="40" spans="1:4" x14ac:dyDescent="0.3">
      <c r="A40" t="s">
        <v>767</v>
      </c>
      <c r="C40" s="69" t="s">
        <v>93</v>
      </c>
      <c r="D40" s="53" t="s">
        <v>706</v>
      </c>
    </row>
    <row r="41" spans="1:4" x14ac:dyDescent="0.3">
      <c r="A41" t="s">
        <v>768</v>
      </c>
      <c r="C41" s="69" t="s">
        <v>769</v>
      </c>
      <c r="D41" s="53" t="s">
        <v>706</v>
      </c>
    </row>
    <row r="42" spans="1:4" x14ac:dyDescent="0.3">
      <c r="A42" t="s">
        <v>770</v>
      </c>
      <c r="C42" s="53" t="s">
        <v>771</v>
      </c>
      <c r="D42" s="53" t="s">
        <v>706</v>
      </c>
    </row>
    <row r="43" spans="1:4" x14ac:dyDescent="0.3">
      <c r="A43" t="s">
        <v>772</v>
      </c>
      <c r="C43" s="53" t="s">
        <v>773</v>
      </c>
      <c r="D43" s="53" t="s">
        <v>706</v>
      </c>
    </row>
    <row r="44" spans="1:4" x14ac:dyDescent="0.3">
      <c r="A44" t="s">
        <v>279</v>
      </c>
      <c r="C44" s="69" t="s">
        <v>774</v>
      </c>
      <c r="D44" s="53" t="s">
        <v>706</v>
      </c>
    </row>
    <row r="45" spans="1:4" x14ac:dyDescent="0.3">
      <c r="A45" t="s">
        <v>775</v>
      </c>
      <c r="C45" s="69" t="s">
        <v>776</v>
      </c>
      <c r="D45" s="53" t="s">
        <v>706</v>
      </c>
    </row>
    <row r="46" spans="1:4" x14ac:dyDescent="0.3">
      <c r="A46" t="s">
        <v>777</v>
      </c>
      <c r="C46" s="69" t="s">
        <v>462</v>
      </c>
      <c r="D46" s="53" t="s">
        <v>706</v>
      </c>
    </row>
    <row r="47" spans="1:4" x14ac:dyDescent="0.3">
      <c r="A47" t="s">
        <v>778</v>
      </c>
      <c r="C47" s="69" t="s">
        <v>779</v>
      </c>
      <c r="D47" s="53" t="s">
        <v>706</v>
      </c>
    </row>
    <row r="48" spans="1:4" x14ac:dyDescent="0.3">
      <c r="A48" t="s">
        <v>73</v>
      </c>
      <c r="C48" s="69" t="s">
        <v>780</v>
      </c>
      <c r="D48" s="53" t="s">
        <v>706</v>
      </c>
    </row>
    <row r="49" spans="1:4" x14ac:dyDescent="0.3">
      <c r="A49" t="s">
        <v>49</v>
      </c>
      <c r="C49" s="69" t="s">
        <v>781</v>
      </c>
      <c r="D49" s="53" t="s">
        <v>706</v>
      </c>
    </row>
    <row r="50" spans="1:4" x14ac:dyDescent="0.3">
      <c r="A50" t="s">
        <v>38</v>
      </c>
      <c r="C50" s="69" t="s">
        <v>782</v>
      </c>
      <c r="D50" s="53" t="s">
        <v>706</v>
      </c>
    </row>
    <row r="51" spans="1:4" x14ac:dyDescent="0.3">
      <c r="C51" s="69" t="s">
        <v>783</v>
      </c>
      <c r="D51" s="53" t="s">
        <v>706</v>
      </c>
    </row>
    <row r="52" spans="1:4" x14ac:dyDescent="0.3">
      <c r="C52" s="69" t="s">
        <v>784</v>
      </c>
      <c r="D52" s="53" t="s">
        <v>706</v>
      </c>
    </row>
    <row r="53" spans="1:4" x14ac:dyDescent="0.3">
      <c r="C53" s="69" t="s">
        <v>785</v>
      </c>
      <c r="D53" s="53" t="s">
        <v>706</v>
      </c>
    </row>
    <row r="54" spans="1:4" x14ac:dyDescent="0.3">
      <c r="C54" s="53" t="s">
        <v>408</v>
      </c>
      <c r="D54" s="53" t="s">
        <v>706</v>
      </c>
    </row>
    <row r="55" spans="1:4" x14ac:dyDescent="0.3">
      <c r="C55" s="69" t="s">
        <v>786</v>
      </c>
      <c r="D55" s="53" t="s">
        <v>706</v>
      </c>
    </row>
    <row r="56" spans="1:4" x14ac:dyDescent="0.3">
      <c r="C56" s="69" t="s">
        <v>564</v>
      </c>
      <c r="D56" s="53" t="s">
        <v>706</v>
      </c>
    </row>
    <row r="57" spans="1:4" x14ac:dyDescent="0.3">
      <c r="C57" s="69" t="s">
        <v>787</v>
      </c>
      <c r="D57" s="53" t="s">
        <v>706</v>
      </c>
    </row>
    <row r="58" spans="1:4" x14ac:dyDescent="0.3">
      <c r="C58" s="69" t="s">
        <v>788</v>
      </c>
      <c r="D58" s="53" t="s">
        <v>706</v>
      </c>
    </row>
    <row r="59" spans="1:4" x14ac:dyDescent="0.3">
      <c r="C59" s="69" t="s">
        <v>789</v>
      </c>
      <c r="D59" s="53" t="s">
        <v>706</v>
      </c>
    </row>
    <row r="60" spans="1:4" x14ac:dyDescent="0.3">
      <c r="C60" s="69" t="s">
        <v>596</v>
      </c>
      <c r="D60" s="53" t="s">
        <v>706</v>
      </c>
    </row>
    <row r="61" spans="1:4" x14ac:dyDescent="0.3">
      <c r="C61" s="69" t="s">
        <v>790</v>
      </c>
      <c r="D61" s="53" t="s">
        <v>706</v>
      </c>
    </row>
    <row r="62" spans="1:4" x14ac:dyDescent="0.3">
      <c r="C62" s="69" t="s">
        <v>625</v>
      </c>
      <c r="D62" s="53" t="s">
        <v>706</v>
      </c>
    </row>
    <row r="63" spans="1:4" x14ac:dyDescent="0.3">
      <c r="C63" s="69" t="s">
        <v>137</v>
      </c>
      <c r="D63" s="53" t="s">
        <v>706</v>
      </c>
    </row>
    <row r="64" spans="1:4" x14ac:dyDescent="0.3">
      <c r="C64" s="69" t="s">
        <v>791</v>
      </c>
      <c r="D64" s="53" t="s">
        <v>706</v>
      </c>
    </row>
    <row r="65" spans="3:4" x14ac:dyDescent="0.3">
      <c r="C65" s="69" t="s">
        <v>792</v>
      </c>
      <c r="D65" s="53" t="s">
        <v>706</v>
      </c>
    </row>
    <row r="66" spans="3:4" x14ac:dyDescent="0.3">
      <c r="C66" s="69" t="s">
        <v>230</v>
      </c>
      <c r="D66" s="53" t="s">
        <v>706</v>
      </c>
    </row>
    <row r="67" spans="3:4" x14ac:dyDescent="0.3">
      <c r="C67" s="69" t="s">
        <v>444</v>
      </c>
      <c r="D67" s="53" t="s">
        <v>706</v>
      </c>
    </row>
    <row r="68" spans="3:4" x14ac:dyDescent="0.3">
      <c r="C68" s="69" t="s">
        <v>793</v>
      </c>
      <c r="D68" s="53" t="s">
        <v>706</v>
      </c>
    </row>
    <row r="69" spans="3:4" x14ac:dyDescent="0.3">
      <c r="C69" s="69" t="s">
        <v>794</v>
      </c>
      <c r="D69" s="53" t="s">
        <v>706</v>
      </c>
    </row>
    <row r="70" spans="3:4" x14ac:dyDescent="0.3">
      <c r="C70" s="69" t="s">
        <v>795</v>
      </c>
      <c r="D70" s="53" t="s">
        <v>706</v>
      </c>
    </row>
    <row r="71" spans="3:4" x14ac:dyDescent="0.3">
      <c r="C71" s="53" t="s">
        <v>796</v>
      </c>
      <c r="D71" s="53" t="s">
        <v>706</v>
      </c>
    </row>
    <row r="72" spans="3:4" x14ac:dyDescent="0.3">
      <c r="C72" s="69" t="s">
        <v>797</v>
      </c>
      <c r="D72" s="53" t="s">
        <v>706</v>
      </c>
    </row>
    <row r="73" spans="3:4" x14ac:dyDescent="0.3">
      <c r="C73" s="69" t="s">
        <v>798</v>
      </c>
      <c r="D73" s="53" t="s">
        <v>706</v>
      </c>
    </row>
    <row r="74" spans="3:4" x14ac:dyDescent="0.3">
      <c r="C74" s="69" t="s">
        <v>799</v>
      </c>
      <c r="D74" s="53" t="s">
        <v>706</v>
      </c>
    </row>
    <row r="75" spans="3:4" x14ac:dyDescent="0.3">
      <c r="C75" s="69" t="s">
        <v>55</v>
      </c>
      <c r="D75" s="53" t="s">
        <v>706</v>
      </c>
    </row>
    <row r="76" spans="3:4" x14ac:dyDescent="0.3">
      <c r="C76" s="69" t="s">
        <v>800</v>
      </c>
      <c r="D76" s="53" t="s">
        <v>706</v>
      </c>
    </row>
    <row r="77" spans="3:4" x14ac:dyDescent="0.3">
      <c r="C77" s="69" t="s">
        <v>801</v>
      </c>
      <c r="D77" s="53" t="s">
        <v>706</v>
      </c>
    </row>
    <row r="78" spans="3:4" x14ac:dyDescent="0.3">
      <c r="C78" s="69" t="s">
        <v>802</v>
      </c>
      <c r="D78" s="53" t="s">
        <v>706</v>
      </c>
    </row>
    <row r="79" spans="3:4" x14ac:dyDescent="0.3">
      <c r="C79" s="69" t="s">
        <v>803</v>
      </c>
      <c r="D79" s="53" t="s">
        <v>706</v>
      </c>
    </row>
    <row r="80" spans="3:4" x14ac:dyDescent="0.3">
      <c r="C80" s="69" t="s">
        <v>804</v>
      </c>
      <c r="D80" s="53" t="s">
        <v>706</v>
      </c>
    </row>
    <row r="81" spans="3:4" x14ac:dyDescent="0.3">
      <c r="C81" s="69" t="s">
        <v>805</v>
      </c>
      <c r="D81" s="53" t="s">
        <v>706</v>
      </c>
    </row>
    <row r="82" spans="3:4" x14ac:dyDescent="0.3">
      <c r="C82" s="69" t="s">
        <v>806</v>
      </c>
      <c r="D82" s="53" t="s">
        <v>706</v>
      </c>
    </row>
    <row r="83" spans="3:4" x14ac:dyDescent="0.3">
      <c r="C83" s="69" t="s">
        <v>807</v>
      </c>
      <c r="D83" s="53" t="s">
        <v>706</v>
      </c>
    </row>
    <row r="84" spans="3:4" x14ac:dyDescent="0.3">
      <c r="C84" s="69" t="s">
        <v>492</v>
      </c>
      <c r="D84" s="53" t="s">
        <v>706</v>
      </c>
    </row>
    <row r="85" spans="3:4" x14ac:dyDescent="0.3">
      <c r="C85" s="69" t="s">
        <v>808</v>
      </c>
      <c r="D85" s="53" t="s">
        <v>706</v>
      </c>
    </row>
    <row r="86" spans="3:4" x14ac:dyDescent="0.3">
      <c r="C86" s="69" t="s">
        <v>398</v>
      </c>
      <c r="D86" s="53" t="s">
        <v>706</v>
      </c>
    </row>
    <row r="87" spans="3:4" x14ac:dyDescent="0.3">
      <c r="C87" s="69" t="s">
        <v>809</v>
      </c>
      <c r="D87" s="53" t="s">
        <v>706</v>
      </c>
    </row>
    <row r="88" spans="3:4" x14ac:dyDescent="0.3">
      <c r="C88" s="69" t="s">
        <v>810</v>
      </c>
      <c r="D88" s="53" t="s">
        <v>706</v>
      </c>
    </row>
    <row r="89" spans="3:4" x14ac:dyDescent="0.3">
      <c r="C89" s="69" t="s">
        <v>811</v>
      </c>
      <c r="D89" s="54" t="s">
        <v>708</v>
      </c>
    </row>
    <row r="90" spans="3:4" x14ac:dyDescent="0.3">
      <c r="C90" s="69" t="s">
        <v>812</v>
      </c>
      <c r="D90" s="54" t="s">
        <v>708</v>
      </c>
    </row>
    <row r="91" spans="3:4" x14ac:dyDescent="0.3">
      <c r="C91" s="69" t="s">
        <v>813</v>
      </c>
      <c r="D91" s="54" t="s">
        <v>708</v>
      </c>
    </row>
    <row r="92" spans="3:4" x14ac:dyDescent="0.3">
      <c r="C92" s="69" t="s">
        <v>814</v>
      </c>
      <c r="D92" s="54" t="s">
        <v>708</v>
      </c>
    </row>
    <row r="93" spans="3:4" x14ac:dyDescent="0.3">
      <c r="C93" s="69" t="s">
        <v>815</v>
      </c>
      <c r="D93" s="54" t="s">
        <v>708</v>
      </c>
    </row>
    <row r="94" spans="3:4" x14ac:dyDescent="0.3">
      <c r="C94" s="69" t="s">
        <v>816</v>
      </c>
      <c r="D94" s="52" t="s">
        <v>708</v>
      </c>
    </row>
    <row r="95" spans="3:4" x14ac:dyDescent="0.3">
      <c r="C95" s="69" t="s">
        <v>817</v>
      </c>
      <c r="D95" s="52" t="s">
        <v>708</v>
      </c>
    </row>
    <row r="96" spans="3:4" x14ac:dyDescent="0.3">
      <c r="C96" s="69" t="s">
        <v>818</v>
      </c>
      <c r="D96" s="54" t="s">
        <v>708</v>
      </c>
    </row>
    <row r="97" spans="3:4" x14ac:dyDescent="0.3">
      <c r="C97" s="69" t="s">
        <v>819</v>
      </c>
      <c r="D97" s="54" t="s">
        <v>708</v>
      </c>
    </row>
    <row r="98" spans="3:4" x14ac:dyDescent="0.3">
      <c r="C98" s="69" t="s">
        <v>820</v>
      </c>
      <c r="D98" s="54" t="s">
        <v>708</v>
      </c>
    </row>
    <row r="99" spans="3:4" x14ac:dyDescent="0.3">
      <c r="C99" s="69" t="s">
        <v>821</v>
      </c>
      <c r="D99" s="54" t="s">
        <v>708</v>
      </c>
    </row>
    <row r="100" spans="3:4" x14ac:dyDescent="0.3">
      <c r="C100" s="69" t="s">
        <v>822</v>
      </c>
      <c r="D100" s="54" t="s">
        <v>708</v>
      </c>
    </row>
    <row r="101" spans="3:4" x14ac:dyDescent="0.3">
      <c r="C101" s="69" t="s">
        <v>823</v>
      </c>
      <c r="D101" s="54" t="s">
        <v>708</v>
      </c>
    </row>
    <row r="102" spans="3:4" x14ac:dyDescent="0.3">
      <c r="C102" s="69" t="s">
        <v>824</v>
      </c>
      <c r="D102" s="54" t="s">
        <v>708</v>
      </c>
    </row>
    <row r="103" spans="3:4" x14ac:dyDescent="0.3">
      <c r="C103" s="69" t="s">
        <v>825</v>
      </c>
      <c r="D103" s="54" t="s">
        <v>708</v>
      </c>
    </row>
    <row r="104" spans="3:4" x14ac:dyDescent="0.3">
      <c r="C104" s="69" t="s">
        <v>826</v>
      </c>
      <c r="D104" s="52" t="s">
        <v>827</v>
      </c>
    </row>
    <row r="105" spans="3:4" x14ac:dyDescent="0.3">
      <c r="C105" s="69" t="s">
        <v>828</v>
      </c>
      <c r="D105" s="52" t="s">
        <v>827</v>
      </c>
    </row>
    <row r="106" spans="3:4" x14ac:dyDescent="0.3">
      <c r="C106" s="69" t="s">
        <v>829</v>
      </c>
      <c r="D106" s="52" t="s">
        <v>827</v>
      </c>
    </row>
    <row r="107" spans="3:4" x14ac:dyDescent="0.3">
      <c r="C107" s="53" t="s">
        <v>830</v>
      </c>
      <c r="D107" s="55" t="s">
        <v>827</v>
      </c>
    </row>
    <row r="108" spans="3:4" x14ac:dyDescent="0.3">
      <c r="C108" s="69" t="s">
        <v>831</v>
      </c>
      <c r="D108" s="52" t="s">
        <v>827</v>
      </c>
    </row>
    <row r="109" spans="3:4" x14ac:dyDescent="0.3">
      <c r="C109" s="69" t="s">
        <v>832</v>
      </c>
      <c r="D109" s="54" t="s">
        <v>827</v>
      </c>
    </row>
    <row r="110" spans="3:4" x14ac:dyDescent="0.3">
      <c r="C110" s="69" t="s">
        <v>833</v>
      </c>
      <c r="D110" s="52" t="s">
        <v>827</v>
      </c>
    </row>
    <row r="111" spans="3:4" x14ac:dyDescent="0.3">
      <c r="C111" s="69" t="s">
        <v>834</v>
      </c>
      <c r="D111" s="52" t="s">
        <v>827</v>
      </c>
    </row>
    <row r="112" spans="3:4" x14ac:dyDescent="0.3">
      <c r="C112" s="69" t="s">
        <v>835</v>
      </c>
      <c r="D112" s="54" t="s">
        <v>262</v>
      </c>
    </row>
    <row r="113" spans="3:4" x14ac:dyDescent="0.3">
      <c r="C113" s="69" t="s">
        <v>836</v>
      </c>
      <c r="D113" s="54" t="s">
        <v>262</v>
      </c>
    </row>
    <row r="114" spans="3:4" x14ac:dyDescent="0.3">
      <c r="C114" s="69" t="s">
        <v>837</v>
      </c>
      <c r="D114" s="54" t="s">
        <v>262</v>
      </c>
    </row>
    <row r="115" spans="3:4" x14ac:dyDescent="0.3">
      <c r="C115" s="69" t="s">
        <v>838</v>
      </c>
      <c r="D115" s="54" t="s">
        <v>262</v>
      </c>
    </row>
    <row r="116" spans="3:4" x14ac:dyDescent="0.3">
      <c r="C116" s="69" t="s">
        <v>839</v>
      </c>
      <c r="D116" s="54" t="s">
        <v>262</v>
      </c>
    </row>
    <row r="117" spans="3:4" x14ac:dyDescent="0.3">
      <c r="C117" s="69" t="s">
        <v>840</v>
      </c>
      <c r="D117" s="54" t="s">
        <v>262</v>
      </c>
    </row>
    <row r="118" spans="3:4" x14ac:dyDescent="0.3">
      <c r="C118" s="69" t="s">
        <v>841</v>
      </c>
      <c r="D118" s="54" t="s">
        <v>262</v>
      </c>
    </row>
    <row r="119" spans="3:4" x14ac:dyDescent="0.3">
      <c r="C119" s="69" t="s">
        <v>842</v>
      </c>
      <c r="D119" s="54" t="s">
        <v>262</v>
      </c>
    </row>
    <row r="120" spans="3:4" x14ac:dyDescent="0.3">
      <c r="C120" s="69" t="s">
        <v>843</v>
      </c>
      <c r="D120" s="54" t="s">
        <v>262</v>
      </c>
    </row>
    <row r="121" spans="3:4" x14ac:dyDescent="0.3">
      <c r="C121" s="69" t="s">
        <v>844</v>
      </c>
      <c r="D121" s="54" t="s">
        <v>262</v>
      </c>
    </row>
    <row r="122" spans="3:4" x14ac:dyDescent="0.3">
      <c r="C122" s="69" t="s">
        <v>845</v>
      </c>
      <c r="D122" s="54" t="s">
        <v>262</v>
      </c>
    </row>
    <row r="123" spans="3:4" x14ac:dyDescent="0.3">
      <c r="C123" s="69" t="s">
        <v>175</v>
      </c>
      <c r="D123" s="54" t="s">
        <v>262</v>
      </c>
    </row>
    <row r="124" spans="3:4" x14ac:dyDescent="0.3">
      <c r="C124" s="69" t="s">
        <v>846</v>
      </c>
      <c r="D124" s="54" t="s">
        <v>262</v>
      </c>
    </row>
    <row r="125" spans="3:4" x14ac:dyDescent="0.3">
      <c r="C125" s="69" t="s">
        <v>847</v>
      </c>
      <c r="D125" s="54" t="s">
        <v>262</v>
      </c>
    </row>
    <row r="126" spans="3:4" x14ac:dyDescent="0.3">
      <c r="C126" s="69" t="s">
        <v>848</v>
      </c>
      <c r="D126" s="54" t="s">
        <v>262</v>
      </c>
    </row>
    <row r="127" spans="3:4" x14ac:dyDescent="0.3">
      <c r="C127" s="69" t="s">
        <v>849</v>
      </c>
      <c r="D127" s="54" t="s">
        <v>262</v>
      </c>
    </row>
    <row r="128" spans="3:4" x14ac:dyDescent="0.3">
      <c r="C128" s="69" t="s">
        <v>850</v>
      </c>
      <c r="D128" s="54" t="s">
        <v>262</v>
      </c>
    </row>
    <row r="129" spans="3:4" x14ac:dyDescent="0.3">
      <c r="C129" s="69" t="s">
        <v>851</v>
      </c>
      <c r="D129" s="54" t="s">
        <v>262</v>
      </c>
    </row>
    <row r="130" spans="3:4" x14ac:dyDescent="0.3">
      <c r="C130" s="69" t="s">
        <v>852</v>
      </c>
      <c r="D130" s="54" t="s">
        <v>262</v>
      </c>
    </row>
    <row r="131" spans="3:4" x14ac:dyDescent="0.3">
      <c r="C131" s="69" t="s">
        <v>853</v>
      </c>
      <c r="D131" s="54" t="s">
        <v>262</v>
      </c>
    </row>
    <row r="132" spans="3:4" x14ac:dyDescent="0.3">
      <c r="C132" s="69" t="s">
        <v>854</v>
      </c>
      <c r="D132" s="54" t="s">
        <v>262</v>
      </c>
    </row>
    <row r="133" spans="3:4" x14ac:dyDescent="0.3">
      <c r="C133" s="69" t="s">
        <v>855</v>
      </c>
      <c r="D133" s="54" t="s">
        <v>262</v>
      </c>
    </row>
    <row r="134" spans="3:4" x14ac:dyDescent="0.3">
      <c r="C134" s="69" t="s">
        <v>856</v>
      </c>
      <c r="D134" s="54" t="s">
        <v>262</v>
      </c>
    </row>
    <row r="135" spans="3:4" x14ac:dyDescent="0.3">
      <c r="C135" s="69" t="s">
        <v>857</v>
      </c>
      <c r="D135" s="54" t="s">
        <v>262</v>
      </c>
    </row>
    <row r="136" spans="3:4" x14ac:dyDescent="0.3">
      <c r="C136" s="69" t="s">
        <v>858</v>
      </c>
      <c r="D136" s="54" t="s">
        <v>262</v>
      </c>
    </row>
    <row r="137" spans="3:4" x14ac:dyDescent="0.3">
      <c r="C137" s="69" t="s">
        <v>859</v>
      </c>
      <c r="D137" s="54" t="s">
        <v>262</v>
      </c>
    </row>
    <row r="138" spans="3:4" x14ac:dyDescent="0.3">
      <c r="C138" s="69" t="s">
        <v>860</v>
      </c>
      <c r="D138" s="54" t="s">
        <v>262</v>
      </c>
    </row>
    <row r="139" spans="3:4" x14ac:dyDescent="0.3">
      <c r="C139" s="69" t="s">
        <v>861</v>
      </c>
      <c r="D139" s="54" t="s">
        <v>262</v>
      </c>
    </row>
    <row r="140" spans="3:4" x14ac:dyDescent="0.3">
      <c r="C140" s="69" t="s">
        <v>862</v>
      </c>
      <c r="D140" s="54" t="s">
        <v>262</v>
      </c>
    </row>
    <row r="141" spans="3:4" x14ac:dyDescent="0.3">
      <c r="C141" s="69" t="s">
        <v>863</v>
      </c>
      <c r="D141" s="54" t="s">
        <v>262</v>
      </c>
    </row>
    <row r="142" spans="3:4" x14ac:dyDescent="0.3">
      <c r="C142" s="69" t="s">
        <v>864</v>
      </c>
      <c r="D142" s="54" t="s">
        <v>262</v>
      </c>
    </row>
    <row r="143" spans="3:4" x14ac:dyDescent="0.3">
      <c r="C143" s="69" t="s">
        <v>865</v>
      </c>
      <c r="D143" s="54" t="s">
        <v>262</v>
      </c>
    </row>
    <row r="144" spans="3:4" x14ac:dyDescent="0.3">
      <c r="C144" s="69" t="s">
        <v>866</v>
      </c>
      <c r="D144" s="54" t="s">
        <v>262</v>
      </c>
    </row>
    <row r="145" spans="3:4" x14ac:dyDescent="0.3">
      <c r="C145" s="69" t="s">
        <v>867</v>
      </c>
      <c r="D145" s="54" t="s">
        <v>262</v>
      </c>
    </row>
    <row r="146" spans="3:4" x14ac:dyDescent="0.3">
      <c r="C146" s="69" t="s">
        <v>868</v>
      </c>
      <c r="D146" s="54" t="s">
        <v>262</v>
      </c>
    </row>
    <row r="147" spans="3:4" x14ac:dyDescent="0.3">
      <c r="C147" s="69" t="s">
        <v>869</v>
      </c>
      <c r="D147" s="54" t="s">
        <v>262</v>
      </c>
    </row>
    <row r="148" spans="3:4" x14ac:dyDescent="0.3">
      <c r="C148" s="69" t="s">
        <v>870</v>
      </c>
      <c r="D148" s="54" t="s">
        <v>262</v>
      </c>
    </row>
    <row r="149" spans="3:4" x14ac:dyDescent="0.3">
      <c r="C149" s="69" t="s">
        <v>871</v>
      </c>
      <c r="D149" s="54" t="s">
        <v>262</v>
      </c>
    </row>
    <row r="150" spans="3:4" x14ac:dyDescent="0.3">
      <c r="C150" s="69" t="s">
        <v>872</v>
      </c>
      <c r="D150" s="54" t="s">
        <v>262</v>
      </c>
    </row>
    <row r="151" spans="3:4" x14ac:dyDescent="0.3">
      <c r="C151" s="69" t="s">
        <v>873</v>
      </c>
      <c r="D151" s="54" t="s">
        <v>262</v>
      </c>
    </row>
    <row r="152" spans="3:4" x14ac:dyDescent="0.3">
      <c r="C152" s="53" t="s">
        <v>874</v>
      </c>
      <c r="D152" s="54" t="s">
        <v>262</v>
      </c>
    </row>
    <row r="153" spans="3:4" x14ac:dyDescent="0.3">
      <c r="C153" s="69" t="s">
        <v>875</v>
      </c>
      <c r="D153" s="54" t="s">
        <v>262</v>
      </c>
    </row>
    <row r="154" spans="3:4" x14ac:dyDescent="0.3">
      <c r="C154" s="69" t="s">
        <v>876</v>
      </c>
      <c r="D154" s="54" t="s">
        <v>262</v>
      </c>
    </row>
    <row r="155" spans="3:4" x14ac:dyDescent="0.3">
      <c r="C155" s="69" t="s">
        <v>877</v>
      </c>
      <c r="D155" s="54" t="s">
        <v>262</v>
      </c>
    </row>
    <row r="156" spans="3:4" x14ac:dyDescent="0.3">
      <c r="C156" s="69" t="s">
        <v>878</v>
      </c>
      <c r="D156" s="54" t="s">
        <v>262</v>
      </c>
    </row>
    <row r="157" spans="3:4" x14ac:dyDescent="0.3">
      <c r="C157" s="69" t="s">
        <v>879</v>
      </c>
      <c r="D157" s="54" t="s">
        <v>262</v>
      </c>
    </row>
    <row r="158" spans="3:4" x14ac:dyDescent="0.3">
      <c r="C158" s="53" t="s">
        <v>880</v>
      </c>
      <c r="D158" s="54" t="s">
        <v>262</v>
      </c>
    </row>
    <row r="159" spans="3:4" x14ac:dyDescent="0.3">
      <c r="C159" s="69" t="s">
        <v>513</v>
      </c>
      <c r="D159" s="54" t="s">
        <v>262</v>
      </c>
    </row>
    <row r="160" spans="3:4" x14ac:dyDescent="0.3">
      <c r="C160" s="69" t="s">
        <v>881</v>
      </c>
      <c r="D160" s="54" t="s">
        <v>262</v>
      </c>
    </row>
    <row r="161" spans="3:4" x14ac:dyDescent="0.3">
      <c r="C161" s="69" t="s">
        <v>882</v>
      </c>
      <c r="D161" s="54" t="s">
        <v>262</v>
      </c>
    </row>
    <row r="162" spans="3:4" x14ac:dyDescent="0.3">
      <c r="C162" s="69" t="s">
        <v>883</v>
      </c>
      <c r="D162" s="54" t="s">
        <v>262</v>
      </c>
    </row>
    <row r="163" spans="3:4" x14ac:dyDescent="0.3">
      <c r="C163" s="69" t="s">
        <v>884</v>
      </c>
      <c r="D163" s="54" t="s">
        <v>262</v>
      </c>
    </row>
    <row r="164" spans="3:4" x14ac:dyDescent="0.3">
      <c r="C164" s="69" t="s">
        <v>885</v>
      </c>
      <c r="D164" s="54" t="s">
        <v>262</v>
      </c>
    </row>
    <row r="165" spans="3:4" x14ac:dyDescent="0.3">
      <c r="C165" s="69" t="s">
        <v>886</v>
      </c>
      <c r="D165" s="54" t="s">
        <v>262</v>
      </c>
    </row>
    <row r="166" spans="3:4" x14ac:dyDescent="0.3">
      <c r="C166" s="69" t="s">
        <v>887</v>
      </c>
      <c r="D166" s="54" t="s">
        <v>262</v>
      </c>
    </row>
    <row r="167" spans="3:4" x14ac:dyDescent="0.3">
      <c r="C167" s="69" t="s">
        <v>390</v>
      </c>
      <c r="D167" s="54" t="s">
        <v>262</v>
      </c>
    </row>
    <row r="168" spans="3:4" x14ac:dyDescent="0.3">
      <c r="C168" s="69" t="s">
        <v>888</v>
      </c>
      <c r="D168" s="54" t="s">
        <v>262</v>
      </c>
    </row>
    <row r="169" spans="3:4" x14ac:dyDescent="0.3">
      <c r="C169" s="69" t="s">
        <v>889</v>
      </c>
      <c r="D169" s="54" t="s">
        <v>262</v>
      </c>
    </row>
    <row r="170" spans="3:4" x14ac:dyDescent="0.3">
      <c r="C170" s="69" t="s">
        <v>890</v>
      </c>
      <c r="D170" s="54" t="s">
        <v>262</v>
      </c>
    </row>
    <row r="171" spans="3:4" x14ac:dyDescent="0.3">
      <c r="C171" s="69" t="s">
        <v>891</v>
      </c>
      <c r="D171" s="54" t="s">
        <v>262</v>
      </c>
    </row>
    <row r="172" spans="3:4" x14ac:dyDescent="0.3">
      <c r="C172" s="69" t="s">
        <v>892</v>
      </c>
      <c r="D172" s="54" t="s">
        <v>262</v>
      </c>
    </row>
    <row r="173" spans="3:4" x14ac:dyDescent="0.3">
      <c r="C173" s="69" t="s">
        <v>893</v>
      </c>
      <c r="D173" s="54" t="s">
        <v>262</v>
      </c>
    </row>
    <row r="174" spans="3:4" x14ac:dyDescent="0.3">
      <c r="C174" s="69" t="s">
        <v>308</v>
      </c>
      <c r="D174" s="54" t="s">
        <v>262</v>
      </c>
    </row>
    <row r="175" spans="3:4" x14ac:dyDescent="0.3">
      <c r="C175" s="69" t="s">
        <v>894</v>
      </c>
      <c r="D175" s="54" t="s">
        <v>262</v>
      </c>
    </row>
    <row r="176" spans="3:4" x14ac:dyDescent="0.3">
      <c r="C176" s="69" t="s">
        <v>379</v>
      </c>
      <c r="D176" s="54" t="s">
        <v>262</v>
      </c>
    </row>
    <row r="177" spans="3:4" x14ac:dyDescent="0.3">
      <c r="C177" s="69" t="s">
        <v>895</v>
      </c>
      <c r="D177" s="54" t="s">
        <v>262</v>
      </c>
    </row>
    <row r="178" spans="3:4" x14ac:dyDescent="0.3">
      <c r="C178" s="53" t="s">
        <v>896</v>
      </c>
      <c r="D178" s="54" t="s">
        <v>262</v>
      </c>
    </row>
    <row r="179" spans="3:4" x14ac:dyDescent="0.3">
      <c r="C179" s="69" t="s">
        <v>897</v>
      </c>
      <c r="D179" s="54" t="s">
        <v>262</v>
      </c>
    </row>
    <row r="180" spans="3:4" x14ac:dyDescent="0.3">
      <c r="C180" s="69" t="s">
        <v>898</v>
      </c>
      <c r="D180" s="54" t="s">
        <v>262</v>
      </c>
    </row>
    <row r="181" spans="3:4" x14ac:dyDescent="0.3">
      <c r="C181" s="69" t="s">
        <v>899</v>
      </c>
      <c r="D181" s="54" t="s">
        <v>262</v>
      </c>
    </row>
    <row r="182" spans="3:4" x14ac:dyDescent="0.3">
      <c r="C182" s="69" t="s">
        <v>900</v>
      </c>
      <c r="D182" s="54" t="s">
        <v>262</v>
      </c>
    </row>
    <row r="183" spans="3:4" x14ac:dyDescent="0.3">
      <c r="C183" s="69" t="s">
        <v>901</v>
      </c>
      <c r="D183" s="54" t="s">
        <v>262</v>
      </c>
    </row>
    <row r="184" spans="3:4" x14ac:dyDescent="0.3">
      <c r="C184" s="69" t="s">
        <v>902</v>
      </c>
      <c r="D184" s="54" t="s">
        <v>262</v>
      </c>
    </row>
    <row r="185" spans="3:4" x14ac:dyDescent="0.3">
      <c r="C185" s="69" t="s">
        <v>903</v>
      </c>
      <c r="D185" s="54" t="s">
        <v>262</v>
      </c>
    </row>
    <row r="186" spans="3:4" x14ac:dyDescent="0.3">
      <c r="C186" s="69" t="s">
        <v>655</v>
      </c>
      <c r="D186" s="54" t="s">
        <v>262</v>
      </c>
    </row>
    <row r="187" spans="3:4" x14ac:dyDescent="0.3">
      <c r="C187" s="69" t="s">
        <v>904</v>
      </c>
      <c r="D187" s="54" t="s">
        <v>262</v>
      </c>
    </row>
    <row r="188" spans="3:4" x14ac:dyDescent="0.3">
      <c r="C188" s="69" t="s">
        <v>905</v>
      </c>
      <c r="D188" s="54" t="s">
        <v>262</v>
      </c>
    </row>
    <row r="189" spans="3:4" x14ac:dyDescent="0.3">
      <c r="C189" s="69" t="s">
        <v>906</v>
      </c>
      <c r="D189" s="54" t="s">
        <v>262</v>
      </c>
    </row>
    <row r="190" spans="3:4" x14ac:dyDescent="0.3">
      <c r="C190" s="69" t="s">
        <v>907</v>
      </c>
      <c r="D190" s="54" t="s">
        <v>262</v>
      </c>
    </row>
    <row r="191" spans="3:4" x14ac:dyDescent="0.3">
      <c r="C191" s="69" t="s">
        <v>908</v>
      </c>
      <c r="D191" s="54" t="s">
        <v>262</v>
      </c>
    </row>
    <row r="192" spans="3:4" x14ac:dyDescent="0.3">
      <c r="C192" s="69" t="s">
        <v>909</v>
      </c>
      <c r="D192" s="54" t="s">
        <v>262</v>
      </c>
    </row>
    <row r="193" spans="3:4" x14ac:dyDescent="0.3">
      <c r="C193" s="69" t="s">
        <v>910</v>
      </c>
      <c r="D193" s="54" t="s">
        <v>262</v>
      </c>
    </row>
    <row r="194" spans="3:4" x14ac:dyDescent="0.3">
      <c r="C194" s="69" t="s">
        <v>911</v>
      </c>
      <c r="D194" s="54" t="s">
        <v>262</v>
      </c>
    </row>
    <row r="195" spans="3:4" x14ac:dyDescent="0.3">
      <c r="C195" s="69" t="s">
        <v>912</v>
      </c>
      <c r="D195" s="54" t="s">
        <v>262</v>
      </c>
    </row>
    <row r="196" spans="3:4" x14ac:dyDescent="0.3">
      <c r="C196" s="69" t="s">
        <v>913</v>
      </c>
      <c r="D196" s="54" t="s">
        <v>262</v>
      </c>
    </row>
    <row r="197" spans="3:4" x14ac:dyDescent="0.3">
      <c r="C197" s="69" t="s">
        <v>914</v>
      </c>
      <c r="D197" s="54" t="s">
        <v>262</v>
      </c>
    </row>
    <row r="198" spans="3:4" x14ac:dyDescent="0.3">
      <c r="C198" s="69" t="s">
        <v>915</v>
      </c>
      <c r="D198" s="54" t="s">
        <v>262</v>
      </c>
    </row>
    <row r="199" spans="3:4" x14ac:dyDescent="0.3">
      <c r="C199" s="69" t="s">
        <v>916</v>
      </c>
      <c r="D199" s="54" t="s">
        <v>262</v>
      </c>
    </row>
    <row r="200" spans="3:4" x14ac:dyDescent="0.3">
      <c r="C200" s="69" t="s">
        <v>917</v>
      </c>
      <c r="D200" s="54" t="s">
        <v>262</v>
      </c>
    </row>
    <row r="201" spans="3:4" x14ac:dyDescent="0.3">
      <c r="C201" s="53" t="s">
        <v>918</v>
      </c>
      <c r="D201" s="54" t="s">
        <v>262</v>
      </c>
    </row>
    <row r="202" spans="3:4" x14ac:dyDescent="0.3">
      <c r="C202" s="69" t="s">
        <v>919</v>
      </c>
      <c r="D202" s="54" t="s">
        <v>262</v>
      </c>
    </row>
    <row r="203" spans="3:4" x14ac:dyDescent="0.3">
      <c r="C203" s="69" t="s">
        <v>920</v>
      </c>
      <c r="D203" s="54" t="s">
        <v>262</v>
      </c>
    </row>
    <row r="204" spans="3:4" x14ac:dyDescent="0.3">
      <c r="C204" s="69" t="s">
        <v>921</v>
      </c>
      <c r="D204" s="54" t="s">
        <v>262</v>
      </c>
    </row>
    <row r="205" spans="3:4" x14ac:dyDescent="0.3">
      <c r="C205" s="69" t="s">
        <v>922</v>
      </c>
      <c r="D205" s="54" t="s">
        <v>262</v>
      </c>
    </row>
    <row r="206" spans="3:4" x14ac:dyDescent="0.3">
      <c r="C206" s="69" t="s">
        <v>923</v>
      </c>
      <c r="D206" s="54" t="s">
        <v>262</v>
      </c>
    </row>
    <row r="207" spans="3:4" x14ac:dyDescent="0.3">
      <c r="C207" s="69" t="s">
        <v>924</v>
      </c>
      <c r="D207" s="54" t="s">
        <v>262</v>
      </c>
    </row>
    <row r="208" spans="3:4" x14ac:dyDescent="0.3">
      <c r="C208" s="69" t="s">
        <v>925</v>
      </c>
      <c r="D208" s="54" t="s">
        <v>262</v>
      </c>
    </row>
    <row r="209" spans="3:4" x14ac:dyDescent="0.3">
      <c r="C209" s="69" t="s">
        <v>467</v>
      </c>
      <c r="D209" s="54" t="s">
        <v>262</v>
      </c>
    </row>
    <row r="210" spans="3:4" x14ac:dyDescent="0.3">
      <c r="C210" s="69" t="s">
        <v>926</v>
      </c>
      <c r="D210" s="54" t="s">
        <v>262</v>
      </c>
    </row>
    <row r="211" spans="3:4" x14ac:dyDescent="0.3">
      <c r="C211" s="69" t="s">
        <v>927</v>
      </c>
      <c r="D211" s="54" t="s">
        <v>715</v>
      </c>
    </row>
    <row r="212" spans="3:4" x14ac:dyDescent="0.3">
      <c r="C212" s="69" t="s">
        <v>928</v>
      </c>
      <c r="D212" s="54" t="s">
        <v>715</v>
      </c>
    </row>
    <row r="213" spans="3:4" x14ac:dyDescent="0.3">
      <c r="C213" s="69" t="s">
        <v>929</v>
      </c>
      <c r="D213" s="54" t="s">
        <v>715</v>
      </c>
    </row>
    <row r="214" spans="3:4" x14ac:dyDescent="0.3">
      <c r="C214" s="69" t="s">
        <v>930</v>
      </c>
      <c r="D214" s="54" t="s">
        <v>715</v>
      </c>
    </row>
    <row r="215" spans="3:4" x14ac:dyDescent="0.3">
      <c r="C215" s="69" t="s">
        <v>931</v>
      </c>
      <c r="D215" s="54" t="s">
        <v>715</v>
      </c>
    </row>
    <row r="216" spans="3:4" x14ac:dyDescent="0.3">
      <c r="C216" s="69" t="s">
        <v>932</v>
      </c>
      <c r="D216" s="54" t="s">
        <v>715</v>
      </c>
    </row>
    <row r="217" spans="3:4" x14ac:dyDescent="0.3">
      <c r="C217" s="69" t="s">
        <v>933</v>
      </c>
      <c r="D217" s="54" t="s">
        <v>715</v>
      </c>
    </row>
    <row r="218" spans="3:4" x14ac:dyDescent="0.3">
      <c r="C218" s="69" t="s">
        <v>934</v>
      </c>
      <c r="D218" s="54" t="s">
        <v>715</v>
      </c>
    </row>
    <row r="219" spans="3:4" x14ac:dyDescent="0.3">
      <c r="C219" s="69" t="s">
        <v>935</v>
      </c>
      <c r="D219" s="54" t="s">
        <v>715</v>
      </c>
    </row>
    <row r="220" spans="3:4" x14ac:dyDescent="0.3">
      <c r="C220" s="69" t="s">
        <v>936</v>
      </c>
      <c r="D220" s="54" t="s">
        <v>715</v>
      </c>
    </row>
    <row r="221" spans="3:4" x14ac:dyDescent="0.3">
      <c r="C221" s="69" t="s">
        <v>937</v>
      </c>
      <c r="D221" s="54" t="s">
        <v>715</v>
      </c>
    </row>
    <row r="222" spans="3:4" x14ac:dyDescent="0.3">
      <c r="C222" s="69" t="s">
        <v>938</v>
      </c>
      <c r="D222" s="54" t="s">
        <v>715</v>
      </c>
    </row>
    <row r="223" spans="3:4" x14ac:dyDescent="0.3">
      <c r="C223" s="69" t="s">
        <v>939</v>
      </c>
      <c r="D223" s="54" t="s">
        <v>715</v>
      </c>
    </row>
    <row r="224" spans="3:4" x14ac:dyDescent="0.3">
      <c r="C224" s="69" t="s">
        <v>940</v>
      </c>
      <c r="D224" s="54" t="s">
        <v>715</v>
      </c>
    </row>
    <row r="225" spans="3:4" x14ac:dyDescent="0.3">
      <c r="C225" s="69" t="s">
        <v>146</v>
      </c>
      <c r="D225" s="54" t="s">
        <v>715</v>
      </c>
    </row>
    <row r="226" spans="3:4" x14ac:dyDescent="0.3">
      <c r="C226" s="69" t="s">
        <v>941</v>
      </c>
      <c r="D226" s="52" t="s">
        <v>715</v>
      </c>
    </row>
    <row r="227" spans="3:4" x14ac:dyDescent="0.3">
      <c r="C227" s="69" t="s">
        <v>942</v>
      </c>
      <c r="D227" s="54" t="s">
        <v>715</v>
      </c>
    </row>
    <row r="228" spans="3:4" x14ac:dyDescent="0.3">
      <c r="C228" s="69" t="s">
        <v>943</v>
      </c>
      <c r="D228" s="52" t="s">
        <v>715</v>
      </c>
    </row>
    <row r="229" spans="3:4" x14ac:dyDescent="0.3">
      <c r="C229" s="69" t="s">
        <v>944</v>
      </c>
      <c r="D229" s="54" t="s">
        <v>715</v>
      </c>
    </row>
    <row r="230" spans="3:4" x14ac:dyDescent="0.3">
      <c r="C230" s="69" t="s">
        <v>945</v>
      </c>
      <c r="D230" s="54" t="s">
        <v>715</v>
      </c>
    </row>
    <row r="231" spans="3:4" x14ac:dyDescent="0.3">
      <c r="C231" s="69" t="s">
        <v>946</v>
      </c>
      <c r="D231" s="54" t="s">
        <v>715</v>
      </c>
    </row>
    <row r="232" spans="3:4" x14ac:dyDescent="0.3">
      <c r="C232" s="69" t="s">
        <v>947</v>
      </c>
      <c r="D232" s="54" t="s">
        <v>715</v>
      </c>
    </row>
    <row r="233" spans="3:4" x14ac:dyDescent="0.3">
      <c r="C233" s="69" t="s">
        <v>948</v>
      </c>
      <c r="D233" s="54" t="s">
        <v>715</v>
      </c>
    </row>
    <row r="234" spans="3:4" x14ac:dyDescent="0.3">
      <c r="C234" s="69" t="s">
        <v>949</v>
      </c>
      <c r="D234" s="54" t="s">
        <v>715</v>
      </c>
    </row>
    <row r="235" spans="3:4" x14ac:dyDescent="0.3">
      <c r="C235" s="69" t="s">
        <v>950</v>
      </c>
      <c r="D235" s="54" t="s">
        <v>715</v>
      </c>
    </row>
    <row r="236" spans="3:4" x14ac:dyDescent="0.3">
      <c r="C236" s="69" t="s">
        <v>951</v>
      </c>
      <c r="D236" s="54" t="s">
        <v>715</v>
      </c>
    </row>
    <row r="237" spans="3:4" x14ac:dyDescent="0.3">
      <c r="C237" s="69" t="s">
        <v>952</v>
      </c>
      <c r="D237" s="52" t="s">
        <v>715</v>
      </c>
    </row>
    <row r="238" spans="3:4" x14ac:dyDescent="0.3">
      <c r="C238" s="53" t="s">
        <v>953</v>
      </c>
      <c r="D238" s="52" t="s">
        <v>715</v>
      </c>
    </row>
    <row r="239" spans="3:4" x14ac:dyDescent="0.3">
      <c r="C239" s="69" t="s">
        <v>954</v>
      </c>
      <c r="D239" s="54" t="s">
        <v>715</v>
      </c>
    </row>
    <row r="240" spans="3:4" x14ac:dyDescent="0.3">
      <c r="C240" s="69" t="s">
        <v>955</v>
      </c>
      <c r="D240" s="54" t="s">
        <v>715</v>
      </c>
    </row>
    <row r="241" spans="3:4" x14ac:dyDescent="0.3">
      <c r="C241" s="69" t="s">
        <v>956</v>
      </c>
      <c r="D241" s="54" t="s">
        <v>715</v>
      </c>
    </row>
    <row r="242" spans="3:4" x14ac:dyDescent="0.3">
      <c r="C242" s="69" t="s">
        <v>957</v>
      </c>
      <c r="D242" s="54" t="s">
        <v>715</v>
      </c>
    </row>
    <row r="243" spans="3:4" x14ac:dyDescent="0.3">
      <c r="C243" s="69" t="s">
        <v>958</v>
      </c>
      <c r="D243" s="54" t="s">
        <v>715</v>
      </c>
    </row>
    <row r="244" spans="3:4" x14ac:dyDescent="0.3">
      <c r="C244" s="69" t="s">
        <v>959</v>
      </c>
      <c r="D244" s="54" t="s">
        <v>715</v>
      </c>
    </row>
    <row r="245" spans="3:4" x14ac:dyDescent="0.3">
      <c r="C245" s="69" t="s">
        <v>960</v>
      </c>
      <c r="D245" s="54" t="s">
        <v>715</v>
      </c>
    </row>
    <row r="246" spans="3:4" x14ac:dyDescent="0.3">
      <c r="C246" s="69" t="s">
        <v>961</v>
      </c>
      <c r="D246" s="54" t="s">
        <v>715</v>
      </c>
    </row>
    <row r="247" spans="3:4" x14ac:dyDescent="0.3">
      <c r="C247" s="69" t="s">
        <v>962</v>
      </c>
      <c r="D247" s="54" t="s">
        <v>715</v>
      </c>
    </row>
    <row r="248" spans="3:4" x14ac:dyDescent="0.3">
      <c r="C248" s="69" t="s">
        <v>568</v>
      </c>
      <c r="D248" s="54" t="s">
        <v>715</v>
      </c>
    </row>
    <row r="249" spans="3:4" x14ac:dyDescent="0.3">
      <c r="C249" s="69" t="s">
        <v>963</v>
      </c>
      <c r="D249" s="54" t="s">
        <v>715</v>
      </c>
    </row>
    <row r="250" spans="3:4" x14ac:dyDescent="0.3">
      <c r="C250" s="69" t="s">
        <v>964</v>
      </c>
      <c r="D250" s="54" t="s">
        <v>715</v>
      </c>
    </row>
    <row r="251" spans="3:4" x14ac:dyDescent="0.3">
      <c r="C251" s="69" t="s">
        <v>965</v>
      </c>
      <c r="D251" s="54" t="s">
        <v>715</v>
      </c>
    </row>
    <row r="252" spans="3:4" x14ac:dyDescent="0.3">
      <c r="C252" s="69" t="s">
        <v>966</v>
      </c>
      <c r="D252" s="54" t="s">
        <v>715</v>
      </c>
    </row>
    <row r="253" spans="3:4" x14ac:dyDescent="0.3">
      <c r="C253" s="69" t="s">
        <v>967</v>
      </c>
      <c r="D253" s="54" t="s">
        <v>715</v>
      </c>
    </row>
    <row r="254" spans="3:4" x14ac:dyDescent="0.3">
      <c r="C254" s="69" t="s">
        <v>968</v>
      </c>
      <c r="D254" s="54" t="s">
        <v>715</v>
      </c>
    </row>
    <row r="255" spans="3:4" x14ac:dyDescent="0.3">
      <c r="C255" s="69" t="s">
        <v>969</v>
      </c>
      <c r="D255" s="54" t="s">
        <v>715</v>
      </c>
    </row>
    <row r="256" spans="3:4" x14ac:dyDescent="0.3">
      <c r="C256" s="69" t="s">
        <v>970</v>
      </c>
      <c r="D256" s="54" t="s">
        <v>715</v>
      </c>
    </row>
    <row r="257" spans="3:4" x14ac:dyDescent="0.3">
      <c r="C257" s="69" t="s">
        <v>971</v>
      </c>
      <c r="D257" s="54" t="s">
        <v>715</v>
      </c>
    </row>
    <row r="258" spans="3:4" x14ac:dyDescent="0.3">
      <c r="C258" s="69" t="s">
        <v>972</v>
      </c>
      <c r="D258" s="54" t="s">
        <v>715</v>
      </c>
    </row>
    <row r="259" spans="3:4" x14ac:dyDescent="0.3">
      <c r="C259" s="69" t="s">
        <v>973</v>
      </c>
      <c r="D259" s="54" t="s">
        <v>715</v>
      </c>
    </row>
    <row r="260" spans="3:4" x14ac:dyDescent="0.3">
      <c r="C260" s="69" t="s">
        <v>974</v>
      </c>
      <c r="D260" s="54" t="s">
        <v>715</v>
      </c>
    </row>
    <row r="261" spans="3:4" x14ac:dyDescent="0.3">
      <c r="C261" s="69" t="s">
        <v>975</v>
      </c>
      <c r="D261" s="54" t="s">
        <v>715</v>
      </c>
    </row>
    <row r="262" spans="3:4" x14ac:dyDescent="0.3">
      <c r="C262" s="69" t="s">
        <v>976</v>
      </c>
      <c r="D262" s="54" t="s">
        <v>715</v>
      </c>
    </row>
    <row r="263" spans="3:4" x14ac:dyDescent="0.3">
      <c r="C263" s="69" t="s">
        <v>977</v>
      </c>
      <c r="D263" s="54" t="s">
        <v>715</v>
      </c>
    </row>
    <row r="264" spans="3:4" x14ac:dyDescent="0.3">
      <c r="C264" s="69" t="s">
        <v>978</v>
      </c>
      <c r="D264" s="54" t="s">
        <v>715</v>
      </c>
    </row>
    <row r="265" spans="3:4" x14ac:dyDescent="0.3">
      <c r="C265" s="69" t="s">
        <v>979</v>
      </c>
      <c r="D265" s="54" t="s">
        <v>715</v>
      </c>
    </row>
    <row r="266" spans="3:4" x14ac:dyDescent="0.3">
      <c r="C266" s="69" t="s">
        <v>980</v>
      </c>
      <c r="D266" s="54" t="s">
        <v>715</v>
      </c>
    </row>
    <row r="267" spans="3:4" x14ac:dyDescent="0.3">
      <c r="C267" s="69" t="s">
        <v>981</v>
      </c>
      <c r="D267" s="54" t="s">
        <v>715</v>
      </c>
    </row>
    <row r="268" spans="3:4" x14ac:dyDescent="0.3">
      <c r="C268" s="69" t="s">
        <v>982</v>
      </c>
      <c r="D268" s="54" t="s">
        <v>715</v>
      </c>
    </row>
    <row r="269" spans="3:4" x14ac:dyDescent="0.3">
      <c r="C269" s="69" t="s">
        <v>983</v>
      </c>
      <c r="D269" s="54" t="s">
        <v>715</v>
      </c>
    </row>
    <row r="270" spans="3:4" x14ac:dyDescent="0.3">
      <c r="C270" s="69" t="s">
        <v>984</v>
      </c>
      <c r="D270" s="54" t="s">
        <v>715</v>
      </c>
    </row>
    <row r="271" spans="3:4" x14ac:dyDescent="0.3">
      <c r="C271" s="69" t="s">
        <v>985</v>
      </c>
      <c r="D271" s="54" t="s">
        <v>711</v>
      </c>
    </row>
    <row r="272" spans="3:4" x14ac:dyDescent="0.3">
      <c r="C272" s="69" t="s">
        <v>986</v>
      </c>
      <c r="D272" s="54" t="s">
        <v>711</v>
      </c>
    </row>
    <row r="273" spans="3:4" x14ac:dyDescent="0.3">
      <c r="C273" s="69" t="s">
        <v>987</v>
      </c>
      <c r="D273" s="54" t="s">
        <v>711</v>
      </c>
    </row>
    <row r="274" spans="3:4" x14ac:dyDescent="0.3">
      <c r="C274" s="69" t="s">
        <v>988</v>
      </c>
      <c r="D274" s="54" t="s">
        <v>711</v>
      </c>
    </row>
    <row r="275" spans="3:4" x14ac:dyDescent="0.3">
      <c r="C275" s="69" t="s">
        <v>989</v>
      </c>
      <c r="D275" s="54" t="s">
        <v>711</v>
      </c>
    </row>
    <row r="276" spans="3:4" x14ac:dyDescent="0.3">
      <c r="C276" s="69" t="s">
        <v>990</v>
      </c>
      <c r="D276" s="54" t="s">
        <v>711</v>
      </c>
    </row>
    <row r="277" spans="3:4" x14ac:dyDescent="0.3">
      <c r="C277" s="69" t="s">
        <v>131</v>
      </c>
      <c r="D277" s="54" t="s">
        <v>711</v>
      </c>
    </row>
    <row r="278" spans="3:4" x14ac:dyDescent="0.3">
      <c r="C278" s="53" t="s">
        <v>141</v>
      </c>
      <c r="D278" s="54" t="s">
        <v>711</v>
      </c>
    </row>
    <row r="279" spans="3:4" x14ac:dyDescent="0.3">
      <c r="C279" s="69" t="s">
        <v>991</v>
      </c>
      <c r="D279" s="54" t="s">
        <v>711</v>
      </c>
    </row>
    <row r="280" spans="3:4" x14ac:dyDescent="0.3">
      <c r="C280" s="69" t="s">
        <v>77</v>
      </c>
      <c r="D280" s="54" t="s">
        <v>711</v>
      </c>
    </row>
    <row r="281" spans="3:4" x14ac:dyDescent="0.3">
      <c r="C281" s="69" t="s">
        <v>605</v>
      </c>
      <c r="D281" s="54" t="s">
        <v>711</v>
      </c>
    </row>
    <row r="282" spans="3:4" x14ac:dyDescent="0.3">
      <c r="C282" s="69" t="s">
        <v>992</v>
      </c>
      <c r="D282" s="54" t="s">
        <v>711</v>
      </c>
    </row>
    <row r="283" spans="3:4" x14ac:dyDescent="0.3">
      <c r="C283" s="69" t="s">
        <v>618</v>
      </c>
      <c r="D283" s="54" t="s">
        <v>711</v>
      </c>
    </row>
    <row r="284" spans="3:4" x14ac:dyDescent="0.3">
      <c r="C284" s="69" t="s">
        <v>993</v>
      </c>
      <c r="D284" s="54" t="s">
        <v>711</v>
      </c>
    </row>
    <row r="285" spans="3:4" x14ac:dyDescent="0.3">
      <c r="C285" s="69" t="s">
        <v>994</v>
      </c>
      <c r="D285" s="54" t="s">
        <v>711</v>
      </c>
    </row>
    <row r="286" spans="3:4" x14ac:dyDescent="0.3">
      <c r="C286" s="69" t="s">
        <v>995</v>
      </c>
      <c r="D286" s="54" t="s">
        <v>711</v>
      </c>
    </row>
    <row r="287" spans="3:4" x14ac:dyDescent="0.3">
      <c r="C287" s="69" t="s">
        <v>996</v>
      </c>
      <c r="D287" s="54" t="s">
        <v>711</v>
      </c>
    </row>
    <row r="288" spans="3:4" x14ac:dyDescent="0.3">
      <c r="C288" s="69" t="s">
        <v>997</v>
      </c>
      <c r="D288" s="54" t="s">
        <v>711</v>
      </c>
    </row>
    <row r="289" spans="3:4" x14ac:dyDescent="0.3">
      <c r="C289" s="69" t="s">
        <v>998</v>
      </c>
      <c r="D289" s="54" t="s">
        <v>711</v>
      </c>
    </row>
    <row r="290" spans="3:4" x14ac:dyDescent="0.3">
      <c r="C290" s="69" t="s">
        <v>999</v>
      </c>
      <c r="D290" s="54" t="s">
        <v>711</v>
      </c>
    </row>
    <row r="291" spans="3:4" x14ac:dyDescent="0.3">
      <c r="C291" s="69" t="s">
        <v>1000</v>
      </c>
      <c r="D291" s="54" t="s">
        <v>711</v>
      </c>
    </row>
    <row r="292" spans="3:4" x14ac:dyDescent="0.3">
      <c r="C292" s="69" t="s">
        <v>1001</v>
      </c>
      <c r="D292" s="54" t="s">
        <v>711</v>
      </c>
    </row>
    <row r="293" spans="3:4" x14ac:dyDescent="0.3">
      <c r="C293" s="69" t="s">
        <v>1002</v>
      </c>
      <c r="D293" s="54" t="s">
        <v>711</v>
      </c>
    </row>
    <row r="294" spans="3:4" x14ac:dyDescent="0.3">
      <c r="C294" s="69" t="s">
        <v>1003</v>
      </c>
      <c r="D294" s="54" t="s">
        <v>711</v>
      </c>
    </row>
    <row r="295" spans="3:4" x14ac:dyDescent="0.3">
      <c r="C295" s="69" t="s">
        <v>629</v>
      </c>
      <c r="D295" s="54" t="s">
        <v>711</v>
      </c>
    </row>
    <row r="296" spans="3:4" x14ac:dyDescent="0.3">
      <c r="C296" s="69" t="s">
        <v>1004</v>
      </c>
      <c r="D296" s="54" t="s">
        <v>711</v>
      </c>
    </row>
    <row r="297" spans="3:4" x14ac:dyDescent="0.3">
      <c r="C297" s="70" t="s">
        <v>1005</v>
      </c>
      <c r="D297" s="54" t="s">
        <v>711</v>
      </c>
    </row>
    <row r="298" spans="3:4" x14ac:dyDescent="0.3">
      <c r="C298" s="69" t="s">
        <v>1006</v>
      </c>
      <c r="D298" s="54" t="s">
        <v>711</v>
      </c>
    </row>
    <row r="299" spans="3:4" x14ac:dyDescent="0.3">
      <c r="C299" s="69" t="s">
        <v>1007</v>
      </c>
      <c r="D299" s="54" t="s">
        <v>711</v>
      </c>
    </row>
    <row r="300" spans="3:4" x14ac:dyDescent="0.3">
      <c r="C300" s="69" t="s">
        <v>1008</v>
      </c>
      <c r="D300" s="54" t="s">
        <v>711</v>
      </c>
    </row>
    <row r="301" spans="3:4" x14ac:dyDescent="0.3">
      <c r="C301" s="69" t="s">
        <v>1009</v>
      </c>
      <c r="D301" s="54" t="s">
        <v>711</v>
      </c>
    </row>
    <row r="302" spans="3:4" x14ac:dyDescent="0.3">
      <c r="C302" s="69" t="s">
        <v>167</v>
      </c>
      <c r="D302" s="54" t="s">
        <v>711</v>
      </c>
    </row>
    <row r="303" spans="3:4" x14ac:dyDescent="0.3">
      <c r="C303" s="69" t="s">
        <v>355</v>
      </c>
      <c r="D303" s="54" t="s">
        <v>711</v>
      </c>
    </row>
    <row r="304" spans="3:4" x14ac:dyDescent="0.3">
      <c r="C304" s="69" t="s">
        <v>170</v>
      </c>
      <c r="D304" s="54" t="s">
        <v>711</v>
      </c>
    </row>
    <row r="305" spans="3:4" x14ac:dyDescent="0.3">
      <c r="C305" s="69" t="s">
        <v>1010</v>
      </c>
      <c r="D305" s="54" t="s">
        <v>711</v>
      </c>
    </row>
    <row r="306" spans="3:4" x14ac:dyDescent="0.3">
      <c r="C306" s="69" t="s">
        <v>1011</v>
      </c>
      <c r="D306" s="54" t="s">
        <v>711</v>
      </c>
    </row>
    <row r="307" spans="3:4" x14ac:dyDescent="0.3">
      <c r="C307" s="69" t="s">
        <v>1012</v>
      </c>
      <c r="D307" s="54" t="s">
        <v>711</v>
      </c>
    </row>
    <row r="308" spans="3:4" x14ac:dyDescent="0.3">
      <c r="C308" s="69" t="s">
        <v>1013</v>
      </c>
      <c r="D308" s="54" t="s">
        <v>711</v>
      </c>
    </row>
    <row r="309" spans="3:4" x14ac:dyDescent="0.3">
      <c r="C309" s="69" t="s">
        <v>1014</v>
      </c>
      <c r="D309" s="54" t="s">
        <v>711</v>
      </c>
    </row>
    <row r="310" spans="3:4" x14ac:dyDescent="0.3">
      <c r="C310" s="69" t="s">
        <v>1015</v>
      </c>
      <c r="D310" s="54" t="s">
        <v>711</v>
      </c>
    </row>
    <row r="311" spans="3:4" x14ac:dyDescent="0.3">
      <c r="C311" s="69" t="s">
        <v>536</v>
      </c>
      <c r="D311" s="54" t="s">
        <v>711</v>
      </c>
    </row>
    <row r="312" spans="3:4" x14ac:dyDescent="0.3">
      <c r="C312" s="69" t="s">
        <v>1016</v>
      </c>
      <c r="D312" s="54" t="s">
        <v>711</v>
      </c>
    </row>
    <row r="313" spans="3:4" x14ac:dyDescent="0.3">
      <c r="C313" s="69" t="s">
        <v>1017</v>
      </c>
      <c r="D313" s="54" t="s">
        <v>711</v>
      </c>
    </row>
    <row r="314" spans="3:4" x14ac:dyDescent="0.3">
      <c r="C314" s="69" t="s">
        <v>1018</v>
      </c>
      <c r="D314" s="54" t="s">
        <v>711</v>
      </c>
    </row>
    <row r="315" spans="3:4" x14ac:dyDescent="0.3">
      <c r="C315" s="69" t="s">
        <v>644</v>
      </c>
      <c r="D315" s="54" t="s">
        <v>711</v>
      </c>
    </row>
    <row r="316" spans="3:4" x14ac:dyDescent="0.3">
      <c r="C316" s="69" t="s">
        <v>1019</v>
      </c>
      <c r="D316" s="54" t="s">
        <v>711</v>
      </c>
    </row>
    <row r="317" spans="3:4" x14ac:dyDescent="0.3">
      <c r="C317" s="69" t="s">
        <v>1020</v>
      </c>
      <c r="D317" s="54" t="s">
        <v>711</v>
      </c>
    </row>
    <row r="318" spans="3:4" x14ac:dyDescent="0.3">
      <c r="C318" s="69" t="s">
        <v>1021</v>
      </c>
      <c r="D318" s="52" t="s">
        <v>1022</v>
      </c>
    </row>
    <row r="319" spans="3:4" x14ac:dyDescent="0.3">
      <c r="C319" s="69" t="s">
        <v>1023</v>
      </c>
      <c r="D319" s="54" t="s">
        <v>714</v>
      </c>
    </row>
    <row r="320" spans="3:4" x14ac:dyDescent="0.3">
      <c r="C320" s="69" t="s">
        <v>1024</v>
      </c>
      <c r="D320" s="54" t="s">
        <v>714</v>
      </c>
    </row>
    <row r="321" spans="3:4" x14ac:dyDescent="0.3">
      <c r="C321" s="69" t="s">
        <v>1025</v>
      </c>
      <c r="D321" s="54" t="s">
        <v>714</v>
      </c>
    </row>
    <row r="322" spans="3:4" x14ac:dyDescent="0.3">
      <c r="C322" s="69" t="s">
        <v>1026</v>
      </c>
      <c r="D322" s="54" t="s">
        <v>714</v>
      </c>
    </row>
    <row r="323" spans="3:4" x14ac:dyDescent="0.3">
      <c r="C323" s="69" t="s">
        <v>1027</v>
      </c>
      <c r="D323" s="54" t="s">
        <v>714</v>
      </c>
    </row>
    <row r="324" spans="3:4" x14ac:dyDescent="0.3">
      <c r="C324" s="69" t="s">
        <v>1028</v>
      </c>
      <c r="D324" s="54" t="s">
        <v>714</v>
      </c>
    </row>
    <row r="325" spans="3:4" x14ac:dyDescent="0.3">
      <c r="C325" s="69" t="s">
        <v>210</v>
      </c>
      <c r="D325" s="54" t="s">
        <v>714</v>
      </c>
    </row>
    <row r="326" spans="3:4" x14ac:dyDescent="0.3">
      <c r="C326" s="69" t="s">
        <v>1029</v>
      </c>
      <c r="D326" s="54" t="s">
        <v>714</v>
      </c>
    </row>
    <row r="327" spans="3:4" x14ac:dyDescent="0.3">
      <c r="C327" s="69" t="s">
        <v>1030</v>
      </c>
      <c r="D327" s="54" t="s">
        <v>714</v>
      </c>
    </row>
    <row r="328" spans="3:4" x14ac:dyDescent="0.3">
      <c r="C328" s="69" t="s">
        <v>266</v>
      </c>
      <c r="D328" s="54" t="s">
        <v>714</v>
      </c>
    </row>
    <row r="329" spans="3:4" x14ac:dyDescent="0.3">
      <c r="C329" s="69" t="s">
        <v>45</v>
      </c>
      <c r="D329" s="52" t="s">
        <v>714</v>
      </c>
    </row>
    <row r="330" spans="3:4" x14ac:dyDescent="0.3">
      <c r="C330" s="69" t="s">
        <v>1031</v>
      </c>
      <c r="D330" s="54" t="s">
        <v>714</v>
      </c>
    </row>
    <row r="331" spans="3:4" x14ac:dyDescent="0.3">
      <c r="C331" s="69" t="s">
        <v>1032</v>
      </c>
      <c r="D331" s="54" t="s">
        <v>714</v>
      </c>
    </row>
    <row r="332" spans="3:4" x14ac:dyDescent="0.3">
      <c r="C332" s="69" t="s">
        <v>1033</v>
      </c>
      <c r="D332" s="54" t="s">
        <v>714</v>
      </c>
    </row>
    <row r="333" spans="3:4" x14ac:dyDescent="0.3">
      <c r="C333" s="69" t="s">
        <v>1034</v>
      </c>
      <c r="D333" s="54" t="s">
        <v>714</v>
      </c>
    </row>
    <row r="334" spans="3:4" x14ac:dyDescent="0.3">
      <c r="C334" s="69" t="s">
        <v>1035</v>
      </c>
      <c r="D334" s="54" t="s">
        <v>714</v>
      </c>
    </row>
    <row r="335" spans="3:4" x14ac:dyDescent="0.3">
      <c r="C335" s="69" t="s">
        <v>1036</v>
      </c>
      <c r="D335" s="54" t="s">
        <v>714</v>
      </c>
    </row>
    <row r="336" spans="3:4" x14ac:dyDescent="0.3">
      <c r="C336" s="69" t="s">
        <v>1037</v>
      </c>
      <c r="D336" s="54" t="s">
        <v>714</v>
      </c>
    </row>
    <row r="337" spans="3:4" x14ac:dyDescent="0.3">
      <c r="C337" s="69" t="s">
        <v>1038</v>
      </c>
      <c r="D337" s="54" t="s">
        <v>714</v>
      </c>
    </row>
    <row r="338" spans="3:4" x14ac:dyDescent="0.3">
      <c r="C338" s="69" t="s">
        <v>162</v>
      </c>
      <c r="D338" s="54" t="s">
        <v>714</v>
      </c>
    </row>
    <row r="339" spans="3:4" x14ac:dyDescent="0.3">
      <c r="C339" s="69" t="s">
        <v>1039</v>
      </c>
      <c r="D339" s="54" t="s">
        <v>714</v>
      </c>
    </row>
    <row r="340" spans="3:4" x14ac:dyDescent="0.3">
      <c r="C340" s="69" t="s">
        <v>91</v>
      </c>
      <c r="D340" s="54" t="s">
        <v>714</v>
      </c>
    </row>
    <row r="341" spans="3:4" x14ac:dyDescent="0.3">
      <c r="C341" s="69" t="s">
        <v>1040</v>
      </c>
      <c r="D341" s="54" t="s">
        <v>714</v>
      </c>
    </row>
    <row r="342" spans="3:4" x14ac:dyDescent="0.3">
      <c r="C342" s="69" t="s">
        <v>1041</v>
      </c>
      <c r="D342" s="52" t="s">
        <v>714</v>
      </c>
    </row>
    <row r="343" spans="3:4" x14ac:dyDescent="0.3">
      <c r="C343" s="53" t="s">
        <v>1042</v>
      </c>
      <c r="D343" s="52" t="s">
        <v>714</v>
      </c>
    </row>
    <row r="344" spans="3:4" x14ac:dyDescent="0.3">
      <c r="C344" s="69" t="s">
        <v>1043</v>
      </c>
      <c r="D344" s="52" t="s">
        <v>714</v>
      </c>
    </row>
    <row r="345" spans="3:4" x14ac:dyDescent="0.3">
      <c r="C345" s="69" t="s">
        <v>1044</v>
      </c>
      <c r="D345" s="54" t="s">
        <v>714</v>
      </c>
    </row>
    <row r="346" spans="3:4" x14ac:dyDescent="0.3">
      <c r="C346" s="69" t="s">
        <v>1045</v>
      </c>
      <c r="D346" s="54" t="s">
        <v>714</v>
      </c>
    </row>
    <row r="347" spans="3:4" x14ac:dyDescent="0.3">
      <c r="C347" s="69" t="s">
        <v>253</v>
      </c>
      <c r="D347" s="54" t="s">
        <v>714</v>
      </c>
    </row>
    <row r="348" spans="3:4" x14ac:dyDescent="0.3">
      <c r="C348" s="69" t="s">
        <v>1046</v>
      </c>
      <c r="D348" s="54" t="s">
        <v>714</v>
      </c>
    </row>
    <row r="349" spans="3:4" x14ac:dyDescent="0.3">
      <c r="C349" s="69" t="s">
        <v>1047</v>
      </c>
      <c r="D349" s="54" t="s">
        <v>714</v>
      </c>
    </row>
    <row r="350" spans="3:4" x14ac:dyDescent="0.3">
      <c r="C350" s="69" t="s">
        <v>1048</v>
      </c>
      <c r="D350" s="54" t="s">
        <v>714</v>
      </c>
    </row>
    <row r="351" spans="3:4" x14ac:dyDescent="0.3">
      <c r="C351" s="69" t="s">
        <v>1049</v>
      </c>
      <c r="D351" s="54" t="s">
        <v>714</v>
      </c>
    </row>
    <row r="352" spans="3:4" x14ac:dyDescent="0.3">
      <c r="C352" s="69" t="s">
        <v>1050</v>
      </c>
      <c r="D352" s="54" t="s">
        <v>714</v>
      </c>
    </row>
    <row r="353" spans="3:4" x14ac:dyDescent="0.3">
      <c r="C353" s="69" t="s">
        <v>1051</v>
      </c>
      <c r="D353" s="54" t="s">
        <v>714</v>
      </c>
    </row>
    <row r="354" spans="3:4" x14ac:dyDescent="0.3">
      <c r="C354" s="69" t="s">
        <v>1052</v>
      </c>
      <c r="D354" s="54" t="s">
        <v>714</v>
      </c>
    </row>
    <row r="355" spans="3:4" x14ac:dyDescent="0.3">
      <c r="C355" s="69" t="s">
        <v>1053</v>
      </c>
      <c r="D355" s="54" t="s">
        <v>714</v>
      </c>
    </row>
    <row r="356" spans="3:4" x14ac:dyDescent="0.3">
      <c r="C356" s="69" t="s">
        <v>1054</v>
      </c>
      <c r="D356" s="54" t="s">
        <v>714</v>
      </c>
    </row>
    <row r="357" spans="3:4" x14ac:dyDescent="0.3">
      <c r="C357" s="69" t="s">
        <v>1055</v>
      </c>
      <c r="D357" s="54" t="s">
        <v>714</v>
      </c>
    </row>
    <row r="358" spans="3:4" x14ac:dyDescent="0.3">
      <c r="C358" s="69" t="s">
        <v>1056</v>
      </c>
      <c r="D358" s="52" t="s">
        <v>714</v>
      </c>
    </row>
    <row r="359" spans="3:4" x14ac:dyDescent="0.3">
      <c r="C359" s="69" t="s">
        <v>1057</v>
      </c>
      <c r="D359" s="54" t="s">
        <v>714</v>
      </c>
    </row>
    <row r="360" spans="3:4" x14ac:dyDescent="0.3">
      <c r="C360" s="69" t="s">
        <v>1058</v>
      </c>
      <c r="D360" s="54" t="s">
        <v>714</v>
      </c>
    </row>
    <row r="361" spans="3:4" x14ac:dyDescent="0.3">
      <c r="C361" s="69" t="s">
        <v>1059</v>
      </c>
      <c r="D361" s="54" t="s">
        <v>714</v>
      </c>
    </row>
    <row r="362" spans="3:4" x14ac:dyDescent="0.3">
      <c r="C362" s="69" t="s">
        <v>1060</v>
      </c>
      <c r="D362" s="54" t="s">
        <v>714</v>
      </c>
    </row>
    <row r="363" spans="3:4" x14ac:dyDescent="0.3">
      <c r="C363" s="69" t="s">
        <v>1061</v>
      </c>
      <c r="D363" s="54" t="s">
        <v>714</v>
      </c>
    </row>
    <row r="364" spans="3:4" x14ac:dyDescent="0.3">
      <c r="C364" s="69" t="s">
        <v>1062</v>
      </c>
      <c r="D364" s="54" t="s">
        <v>714</v>
      </c>
    </row>
    <row r="365" spans="3:4" x14ac:dyDescent="0.3">
      <c r="C365" s="69" t="s">
        <v>1063</v>
      </c>
      <c r="D365" s="54" t="s">
        <v>714</v>
      </c>
    </row>
    <row r="366" spans="3:4" x14ac:dyDescent="0.3">
      <c r="C366" s="69" t="s">
        <v>1064</v>
      </c>
      <c r="D366" s="54" t="s">
        <v>714</v>
      </c>
    </row>
    <row r="367" spans="3:4" x14ac:dyDescent="0.3">
      <c r="C367" s="69" t="s">
        <v>1065</v>
      </c>
      <c r="D367" s="54" t="s">
        <v>714</v>
      </c>
    </row>
    <row r="368" spans="3:4" x14ac:dyDescent="0.3">
      <c r="C368" s="69" t="s">
        <v>1066</v>
      </c>
      <c r="D368" s="54" t="s">
        <v>714</v>
      </c>
    </row>
    <row r="369" spans="3:4" x14ac:dyDescent="0.3">
      <c r="C369" s="69" t="s">
        <v>1067</v>
      </c>
      <c r="D369" s="54" t="s">
        <v>714</v>
      </c>
    </row>
    <row r="370" spans="3:4" x14ac:dyDescent="0.3">
      <c r="C370" s="69" t="s">
        <v>1068</v>
      </c>
      <c r="D370" s="54" t="s">
        <v>714</v>
      </c>
    </row>
    <row r="371" spans="3:4" x14ac:dyDescent="0.3">
      <c r="C371" s="69" t="s">
        <v>1069</v>
      </c>
      <c r="D371" s="54" t="s">
        <v>714</v>
      </c>
    </row>
    <row r="372" spans="3:4" x14ac:dyDescent="0.3">
      <c r="C372" s="69" t="s">
        <v>1070</v>
      </c>
      <c r="D372" s="54" t="s">
        <v>714</v>
      </c>
    </row>
    <row r="373" spans="3:4" x14ac:dyDescent="0.3">
      <c r="C373" s="69" t="s">
        <v>1071</v>
      </c>
      <c r="D373" s="54" t="s">
        <v>714</v>
      </c>
    </row>
    <row r="374" spans="3:4" x14ac:dyDescent="0.3">
      <c r="C374" s="69" t="s">
        <v>1072</v>
      </c>
      <c r="D374" s="54" t="s">
        <v>714</v>
      </c>
    </row>
    <row r="375" spans="3:4" x14ac:dyDescent="0.3">
      <c r="C375" s="69" t="s">
        <v>1073</v>
      </c>
      <c r="D375" s="54" t="s">
        <v>714</v>
      </c>
    </row>
    <row r="376" spans="3:4" x14ac:dyDescent="0.3">
      <c r="C376" s="69" t="s">
        <v>1074</v>
      </c>
      <c r="D376" s="54" t="s">
        <v>714</v>
      </c>
    </row>
    <row r="377" spans="3:4" x14ac:dyDescent="0.3">
      <c r="C377" s="69" t="s">
        <v>1075</v>
      </c>
      <c r="D377" s="54" t="s">
        <v>714</v>
      </c>
    </row>
    <row r="378" spans="3:4" x14ac:dyDescent="0.3">
      <c r="C378" s="69" t="s">
        <v>1076</v>
      </c>
      <c r="D378" s="54" t="s">
        <v>714</v>
      </c>
    </row>
    <row r="379" spans="3:4" x14ac:dyDescent="0.3">
      <c r="C379" s="69" t="s">
        <v>1077</v>
      </c>
      <c r="D379" s="54" t="s">
        <v>714</v>
      </c>
    </row>
    <row r="380" spans="3:4" x14ac:dyDescent="0.3">
      <c r="C380" s="69" t="s">
        <v>1078</v>
      </c>
      <c r="D380" s="54" t="s">
        <v>714</v>
      </c>
    </row>
    <row r="381" spans="3:4" x14ac:dyDescent="0.3">
      <c r="C381" s="69" t="s">
        <v>575</v>
      </c>
      <c r="D381" s="54" t="s">
        <v>714</v>
      </c>
    </row>
    <row r="382" spans="3:4" x14ac:dyDescent="0.3">
      <c r="C382" s="69" t="s">
        <v>1079</v>
      </c>
      <c r="D382" s="54" t="s">
        <v>714</v>
      </c>
    </row>
    <row r="383" spans="3:4" x14ac:dyDescent="0.3">
      <c r="C383" s="69" t="s">
        <v>325</v>
      </c>
      <c r="D383" s="54" t="s">
        <v>714</v>
      </c>
    </row>
    <row r="384" spans="3:4" x14ac:dyDescent="0.3">
      <c r="C384" s="69" t="s">
        <v>1080</v>
      </c>
      <c r="D384" s="54" t="s">
        <v>714</v>
      </c>
    </row>
    <row r="385" spans="3:4" x14ac:dyDescent="0.3">
      <c r="C385" s="69" t="s">
        <v>1081</v>
      </c>
      <c r="D385" s="54" t="s">
        <v>714</v>
      </c>
    </row>
    <row r="386" spans="3:4" x14ac:dyDescent="0.3">
      <c r="C386" s="69" t="s">
        <v>301</v>
      </c>
      <c r="D386" s="54" t="s">
        <v>714</v>
      </c>
    </row>
    <row r="387" spans="3:4" x14ac:dyDescent="0.3">
      <c r="C387" s="69" t="s">
        <v>1082</v>
      </c>
      <c r="D387" s="54" t="s">
        <v>714</v>
      </c>
    </row>
    <row r="388" spans="3:4" x14ac:dyDescent="0.3">
      <c r="C388" s="69" t="s">
        <v>1083</v>
      </c>
      <c r="D388" s="54" t="s">
        <v>714</v>
      </c>
    </row>
    <row r="389" spans="3:4" x14ac:dyDescent="0.3">
      <c r="C389" s="69" t="s">
        <v>1084</v>
      </c>
      <c r="D389" s="54" t="s">
        <v>714</v>
      </c>
    </row>
    <row r="390" spans="3:4" x14ac:dyDescent="0.3">
      <c r="C390" s="69" t="s">
        <v>1085</v>
      </c>
      <c r="D390" s="52" t="s">
        <v>1086</v>
      </c>
    </row>
    <row r="391" spans="3:4" x14ac:dyDescent="0.3">
      <c r="C391" s="69" t="s">
        <v>1087</v>
      </c>
      <c r="D391" s="52" t="s">
        <v>1086</v>
      </c>
    </row>
    <row r="392" spans="3:4" x14ac:dyDescent="0.3">
      <c r="C392" s="69" t="s">
        <v>1088</v>
      </c>
      <c r="D392" s="54" t="s">
        <v>710</v>
      </c>
    </row>
    <row r="393" spans="3:4" x14ac:dyDescent="0.3">
      <c r="C393" s="69" t="s">
        <v>383</v>
      </c>
      <c r="D393" s="54" t="s">
        <v>710</v>
      </c>
    </row>
    <row r="394" spans="3:4" x14ac:dyDescent="0.3">
      <c r="C394" s="69" t="s">
        <v>1089</v>
      </c>
      <c r="D394" s="54" t="s">
        <v>710</v>
      </c>
    </row>
    <row r="395" spans="3:4" x14ac:dyDescent="0.3">
      <c r="C395" s="69" t="s">
        <v>1090</v>
      </c>
      <c r="D395" s="54" t="s">
        <v>710</v>
      </c>
    </row>
    <row r="396" spans="3:4" x14ac:dyDescent="0.3">
      <c r="C396" s="69" t="s">
        <v>1091</v>
      </c>
      <c r="D396" s="54" t="s">
        <v>710</v>
      </c>
    </row>
    <row r="397" spans="3:4" x14ac:dyDescent="0.3">
      <c r="C397" s="69" t="s">
        <v>1092</v>
      </c>
      <c r="D397" s="54" t="s">
        <v>710</v>
      </c>
    </row>
    <row r="398" spans="3:4" x14ac:dyDescent="0.3">
      <c r="C398" s="69" t="s">
        <v>416</v>
      </c>
      <c r="D398" s="54" t="s">
        <v>710</v>
      </c>
    </row>
    <row r="399" spans="3:4" x14ac:dyDescent="0.3">
      <c r="C399" s="69" t="s">
        <v>1093</v>
      </c>
      <c r="D399" s="54" t="s">
        <v>710</v>
      </c>
    </row>
    <row r="400" spans="3:4" x14ac:dyDescent="0.3">
      <c r="C400" s="69" t="s">
        <v>1094</v>
      </c>
      <c r="D400" s="54" t="s">
        <v>710</v>
      </c>
    </row>
    <row r="401" spans="3:4" x14ac:dyDescent="0.3">
      <c r="C401" s="69" t="s">
        <v>1095</v>
      </c>
      <c r="D401" s="54" t="s">
        <v>710</v>
      </c>
    </row>
    <row r="402" spans="3:4" x14ac:dyDescent="0.3">
      <c r="C402" s="69" t="s">
        <v>1096</v>
      </c>
      <c r="D402" s="54" t="s">
        <v>710</v>
      </c>
    </row>
    <row r="403" spans="3:4" x14ac:dyDescent="0.3">
      <c r="C403" s="69" t="s">
        <v>580</v>
      </c>
      <c r="D403" s="54" t="s">
        <v>710</v>
      </c>
    </row>
    <row r="404" spans="3:4" x14ac:dyDescent="0.3">
      <c r="C404" s="69" t="s">
        <v>647</v>
      </c>
      <c r="D404" s="52" t="s">
        <v>710</v>
      </c>
    </row>
    <row r="405" spans="3:4" x14ac:dyDescent="0.3">
      <c r="C405" s="69" t="s">
        <v>1097</v>
      </c>
      <c r="D405" s="54" t="s">
        <v>710</v>
      </c>
    </row>
    <row r="406" spans="3:4" x14ac:dyDescent="0.3">
      <c r="C406" s="69" t="s">
        <v>1098</v>
      </c>
      <c r="D406" s="54" t="s">
        <v>710</v>
      </c>
    </row>
    <row r="407" spans="3:4" x14ac:dyDescent="0.3">
      <c r="C407" s="69" t="s">
        <v>1099</v>
      </c>
      <c r="D407" s="54" t="s">
        <v>710</v>
      </c>
    </row>
    <row r="408" spans="3:4" x14ac:dyDescent="0.3">
      <c r="C408" s="69" t="s">
        <v>334</v>
      </c>
      <c r="D408" s="54" t="s">
        <v>710</v>
      </c>
    </row>
    <row r="409" spans="3:4" x14ac:dyDescent="0.3">
      <c r="C409" s="69" t="s">
        <v>1100</v>
      </c>
      <c r="D409" s="54" t="s">
        <v>710</v>
      </c>
    </row>
    <row r="410" spans="3:4" x14ac:dyDescent="0.3">
      <c r="C410" s="69" t="s">
        <v>1101</v>
      </c>
      <c r="D410" s="54" t="s">
        <v>710</v>
      </c>
    </row>
    <row r="411" spans="3:4" x14ac:dyDescent="0.3">
      <c r="C411" s="69" t="s">
        <v>100</v>
      </c>
      <c r="D411" s="54" t="s">
        <v>710</v>
      </c>
    </row>
    <row r="412" spans="3:4" x14ac:dyDescent="0.3">
      <c r="C412" s="69" t="s">
        <v>1102</v>
      </c>
      <c r="D412" s="52" t="s">
        <v>710</v>
      </c>
    </row>
    <row r="413" spans="3:4" x14ac:dyDescent="0.3">
      <c r="C413" s="69" t="s">
        <v>1103</v>
      </c>
      <c r="D413" s="54" t="s">
        <v>710</v>
      </c>
    </row>
    <row r="414" spans="3:4" x14ac:dyDescent="0.3">
      <c r="C414" s="69" t="s">
        <v>1104</v>
      </c>
      <c r="D414" s="54" t="s">
        <v>710</v>
      </c>
    </row>
    <row r="415" spans="3:4" x14ac:dyDescent="0.3">
      <c r="C415" s="69" t="s">
        <v>1105</v>
      </c>
      <c r="D415" s="54" t="s">
        <v>710</v>
      </c>
    </row>
    <row r="416" spans="3:4" x14ac:dyDescent="0.3">
      <c r="C416" s="69" t="s">
        <v>1106</v>
      </c>
      <c r="D416" s="54" t="s">
        <v>710</v>
      </c>
    </row>
    <row r="417" spans="3:4" x14ac:dyDescent="0.3">
      <c r="C417" s="53" t="s">
        <v>193</v>
      </c>
      <c r="D417" s="52" t="s">
        <v>710</v>
      </c>
    </row>
    <row r="418" spans="3:4" x14ac:dyDescent="0.3">
      <c r="C418" s="69" t="s">
        <v>1107</v>
      </c>
      <c r="D418" s="52" t="s">
        <v>710</v>
      </c>
    </row>
    <row r="419" spans="3:4" x14ac:dyDescent="0.3">
      <c r="C419" s="69" t="s">
        <v>1108</v>
      </c>
      <c r="D419" s="54" t="s">
        <v>710</v>
      </c>
    </row>
    <row r="420" spans="3:4" x14ac:dyDescent="0.3">
      <c r="C420" s="69" t="s">
        <v>1109</v>
      </c>
      <c r="D420" s="52" t="s">
        <v>710</v>
      </c>
    </row>
    <row r="421" spans="3:4" x14ac:dyDescent="0.3">
      <c r="C421" s="69" t="s">
        <v>1110</v>
      </c>
      <c r="D421" s="54" t="s">
        <v>710</v>
      </c>
    </row>
    <row r="422" spans="3:4" x14ac:dyDescent="0.3">
      <c r="C422" s="69" t="s">
        <v>1111</v>
      </c>
      <c r="D422" s="54" t="s">
        <v>710</v>
      </c>
    </row>
    <row r="423" spans="3:4" x14ac:dyDescent="0.3">
      <c r="C423" s="69" t="s">
        <v>1112</v>
      </c>
      <c r="D423" s="54" t="s">
        <v>710</v>
      </c>
    </row>
    <row r="424" spans="3:4" x14ac:dyDescent="0.3">
      <c r="C424" s="69" t="s">
        <v>545</v>
      </c>
      <c r="D424" s="54" t="s">
        <v>710</v>
      </c>
    </row>
    <row r="425" spans="3:4" x14ac:dyDescent="0.3">
      <c r="C425" s="69" t="s">
        <v>1113</v>
      </c>
      <c r="D425" s="54" t="s">
        <v>710</v>
      </c>
    </row>
    <row r="426" spans="3:4" x14ac:dyDescent="0.3">
      <c r="C426" s="69" t="s">
        <v>1114</v>
      </c>
      <c r="D426" s="54" t="s">
        <v>710</v>
      </c>
    </row>
    <row r="427" spans="3:4" x14ac:dyDescent="0.3">
      <c r="C427" s="69" t="s">
        <v>1115</v>
      </c>
      <c r="D427" s="54" t="s">
        <v>710</v>
      </c>
    </row>
    <row r="428" spans="3:4" x14ac:dyDescent="0.3">
      <c r="C428" s="69" t="s">
        <v>1116</v>
      </c>
      <c r="D428" s="54" t="s">
        <v>710</v>
      </c>
    </row>
    <row r="429" spans="3:4" x14ac:dyDescent="0.3">
      <c r="C429" s="69" t="s">
        <v>1117</v>
      </c>
      <c r="D429" s="54" t="s">
        <v>710</v>
      </c>
    </row>
    <row r="430" spans="3:4" x14ac:dyDescent="0.3">
      <c r="C430" s="69" t="s">
        <v>1118</v>
      </c>
      <c r="D430" s="54" t="s">
        <v>710</v>
      </c>
    </row>
    <row r="431" spans="3:4" x14ac:dyDescent="0.3">
      <c r="C431" s="71" t="s">
        <v>1119</v>
      </c>
      <c r="D431" s="56" t="s">
        <v>710</v>
      </c>
    </row>
    <row r="432" spans="3:4" x14ac:dyDescent="0.3">
      <c r="C432" s="69" t="s">
        <v>1120</v>
      </c>
      <c r="D432" s="54" t="s">
        <v>710</v>
      </c>
    </row>
    <row r="433" spans="3:4" x14ac:dyDescent="0.3">
      <c r="C433" s="69" t="s">
        <v>105</v>
      </c>
      <c r="D433" s="54" t="s">
        <v>710</v>
      </c>
    </row>
    <row r="434" spans="3:4" x14ac:dyDescent="0.3">
      <c r="C434" s="69" t="s">
        <v>1121</v>
      </c>
      <c r="D434" s="54" t="s">
        <v>710</v>
      </c>
    </row>
    <row r="435" spans="3:4" x14ac:dyDescent="0.3">
      <c r="C435" s="69" t="s">
        <v>1122</v>
      </c>
      <c r="D435" s="54" t="s">
        <v>710</v>
      </c>
    </row>
    <row r="436" spans="3:4" x14ac:dyDescent="0.3">
      <c r="C436" s="69" t="s">
        <v>1123</v>
      </c>
      <c r="D436" s="54" t="s">
        <v>710</v>
      </c>
    </row>
    <row r="437" spans="3:4" x14ac:dyDescent="0.3">
      <c r="C437" s="69" t="s">
        <v>455</v>
      </c>
      <c r="D437" s="54" t="s">
        <v>710</v>
      </c>
    </row>
    <row r="438" spans="3:4" x14ac:dyDescent="0.3">
      <c r="C438" s="53" t="s">
        <v>1124</v>
      </c>
      <c r="D438" s="53" t="s">
        <v>710</v>
      </c>
    </row>
    <row r="439" spans="3:4" x14ac:dyDescent="0.3">
      <c r="C439" s="53" t="s">
        <v>1125</v>
      </c>
      <c r="D439" s="57" t="s">
        <v>710</v>
      </c>
    </row>
    <row r="440" spans="3:4" x14ac:dyDescent="0.3">
      <c r="C440" s="69" t="s">
        <v>1126</v>
      </c>
      <c r="D440" s="54" t="s">
        <v>710</v>
      </c>
    </row>
    <row r="441" spans="3:4" x14ac:dyDescent="0.3">
      <c r="C441" s="69" t="s">
        <v>1127</v>
      </c>
      <c r="D441" s="54" t="s">
        <v>710</v>
      </c>
    </row>
    <row r="442" spans="3:4" x14ac:dyDescent="0.3">
      <c r="C442" s="69" t="s">
        <v>1128</v>
      </c>
      <c r="D442" s="54" t="s">
        <v>710</v>
      </c>
    </row>
    <row r="443" spans="3:4" x14ac:dyDescent="0.3">
      <c r="C443" s="69" t="s">
        <v>1129</v>
      </c>
      <c r="D443" s="54" t="s">
        <v>710</v>
      </c>
    </row>
    <row r="444" spans="3:4" x14ac:dyDescent="0.3">
      <c r="C444" s="69" t="s">
        <v>1130</v>
      </c>
      <c r="D444" s="54" t="s">
        <v>710</v>
      </c>
    </row>
    <row r="445" spans="3:4" x14ac:dyDescent="0.3">
      <c r="C445" s="69" t="s">
        <v>351</v>
      </c>
      <c r="D445" s="54" t="s">
        <v>710</v>
      </c>
    </row>
    <row r="446" spans="3:4" x14ac:dyDescent="0.3">
      <c r="C446" s="69" t="s">
        <v>1131</v>
      </c>
      <c r="D446" s="54" t="s">
        <v>710</v>
      </c>
    </row>
    <row r="447" spans="3:4" x14ac:dyDescent="0.3">
      <c r="C447" s="69" t="s">
        <v>1132</v>
      </c>
      <c r="D447" s="54" t="s">
        <v>710</v>
      </c>
    </row>
    <row r="448" spans="3:4" x14ac:dyDescent="0.3">
      <c r="C448" s="69" t="s">
        <v>1133</v>
      </c>
      <c r="D448" s="54" t="s">
        <v>710</v>
      </c>
    </row>
    <row r="449" spans="3:4" x14ac:dyDescent="0.3">
      <c r="C449" s="69" t="s">
        <v>1134</v>
      </c>
      <c r="D449" s="54" t="s">
        <v>710</v>
      </c>
    </row>
    <row r="450" spans="3:4" x14ac:dyDescent="0.3">
      <c r="C450" s="69" t="s">
        <v>1135</v>
      </c>
      <c r="D450" s="54" t="s">
        <v>710</v>
      </c>
    </row>
    <row r="451" spans="3:4" x14ac:dyDescent="0.3">
      <c r="C451" s="69" t="s">
        <v>1136</v>
      </c>
      <c r="D451" s="54" t="s">
        <v>710</v>
      </c>
    </row>
    <row r="452" spans="3:4" x14ac:dyDescent="0.3">
      <c r="C452" s="69" t="s">
        <v>1137</v>
      </c>
      <c r="D452" s="54" t="s">
        <v>710</v>
      </c>
    </row>
    <row r="453" spans="3:4" x14ac:dyDescent="0.3">
      <c r="C453" s="69" t="s">
        <v>640</v>
      </c>
      <c r="D453" s="54" t="s">
        <v>710</v>
      </c>
    </row>
    <row r="454" spans="3:4" x14ac:dyDescent="0.3">
      <c r="C454" s="69" t="s">
        <v>1138</v>
      </c>
      <c r="D454" s="54" t="s">
        <v>710</v>
      </c>
    </row>
    <row r="455" spans="3:4" x14ac:dyDescent="0.3">
      <c r="C455" s="69" t="s">
        <v>1139</v>
      </c>
      <c r="D455" s="54" t="s">
        <v>710</v>
      </c>
    </row>
    <row r="456" spans="3:4" x14ac:dyDescent="0.3">
      <c r="C456" s="69" t="s">
        <v>1140</v>
      </c>
      <c r="D456" s="54" t="s">
        <v>710</v>
      </c>
    </row>
    <row r="457" spans="3:4" x14ac:dyDescent="0.3">
      <c r="C457" s="69" t="s">
        <v>1141</v>
      </c>
      <c r="D457" s="54" t="s">
        <v>710</v>
      </c>
    </row>
    <row r="458" spans="3:4" x14ac:dyDescent="0.3">
      <c r="C458" s="69" t="s">
        <v>1142</v>
      </c>
      <c r="D458" s="54" t="s">
        <v>710</v>
      </c>
    </row>
    <row r="459" spans="3:4" x14ac:dyDescent="0.3">
      <c r="C459" s="69" t="s">
        <v>1143</v>
      </c>
      <c r="D459" s="54" t="s">
        <v>710</v>
      </c>
    </row>
    <row r="460" spans="3:4" x14ac:dyDescent="0.3">
      <c r="C460" s="69" t="s">
        <v>1144</v>
      </c>
      <c r="D460" s="54" t="s">
        <v>710</v>
      </c>
    </row>
    <row r="461" spans="3:4" x14ac:dyDescent="0.3">
      <c r="C461" s="69" t="s">
        <v>1145</v>
      </c>
      <c r="D461" s="54" t="s">
        <v>710</v>
      </c>
    </row>
    <row r="462" spans="3:4" x14ac:dyDescent="0.3">
      <c r="C462" s="69" t="s">
        <v>1146</v>
      </c>
      <c r="D462" s="54" t="s">
        <v>710</v>
      </c>
    </row>
    <row r="463" spans="3:4" x14ac:dyDescent="0.3">
      <c r="C463" s="69" t="s">
        <v>523</v>
      </c>
      <c r="D463" s="54" t="s">
        <v>710</v>
      </c>
    </row>
    <row r="464" spans="3:4" x14ac:dyDescent="0.3">
      <c r="C464" s="69" t="s">
        <v>1147</v>
      </c>
      <c r="D464" s="54" t="s">
        <v>710</v>
      </c>
    </row>
    <row r="465" spans="3:4" x14ac:dyDescent="0.3">
      <c r="C465" s="69" t="s">
        <v>1148</v>
      </c>
      <c r="D465" s="54" t="s">
        <v>710</v>
      </c>
    </row>
    <row r="466" spans="3:4" x14ac:dyDescent="0.3">
      <c r="C466" s="69" t="s">
        <v>1149</v>
      </c>
      <c r="D466" s="54" t="s">
        <v>710</v>
      </c>
    </row>
    <row r="467" spans="3:4" x14ac:dyDescent="0.3">
      <c r="C467" s="69" t="s">
        <v>1150</v>
      </c>
      <c r="D467" s="54" t="s">
        <v>710</v>
      </c>
    </row>
    <row r="468" spans="3:4" x14ac:dyDescent="0.3">
      <c r="C468" s="69" t="s">
        <v>1151</v>
      </c>
      <c r="D468" s="54" t="s">
        <v>710</v>
      </c>
    </row>
    <row r="469" spans="3:4" x14ac:dyDescent="0.3">
      <c r="C469" s="69" t="s">
        <v>1152</v>
      </c>
      <c r="D469" s="54" t="s">
        <v>709</v>
      </c>
    </row>
    <row r="470" spans="3:4" x14ac:dyDescent="0.3">
      <c r="C470" s="69" t="s">
        <v>1153</v>
      </c>
      <c r="D470" s="54" t="s">
        <v>709</v>
      </c>
    </row>
    <row r="471" spans="3:4" x14ac:dyDescent="0.3">
      <c r="C471" s="69" t="s">
        <v>31</v>
      </c>
      <c r="D471" s="54" t="s">
        <v>709</v>
      </c>
    </row>
    <row r="472" spans="3:4" x14ac:dyDescent="0.3">
      <c r="C472" s="69" t="s">
        <v>220</v>
      </c>
      <c r="D472" s="54" t="s">
        <v>709</v>
      </c>
    </row>
    <row r="473" spans="3:4" x14ac:dyDescent="0.3">
      <c r="C473" s="69" t="s">
        <v>1154</v>
      </c>
      <c r="D473" s="54" t="s">
        <v>709</v>
      </c>
    </row>
    <row r="474" spans="3:4" x14ac:dyDescent="0.3">
      <c r="C474" s="69" t="s">
        <v>286</v>
      </c>
      <c r="D474" s="54" t="s">
        <v>709</v>
      </c>
    </row>
    <row r="475" spans="3:4" x14ac:dyDescent="0.3">
      <c r="C475" s="69" t="s">
        <v>1155</v>
      </c>
      <c r="D475" s="54" t="s">
        <v>709</v>
      </c>
    </row>
    <row r="476" spans="3:4" x14ac:dyDescent="0.3">
      <c r="C476" s="69" t="s">
        <v>1156</v>
      </c>
      <c r="D476" s="54" t="s">
        <v>709</v>
      </c>
    </row>
    <row r="477" spans="3:4" x14ac:dyDescent="0.3">
      <c r="C477" s="69" t="s">
        <v>1157</v>
      </c>
      <c r="D477" s="54" t="s">
        <v>709</v>
      </c>
    </row>
    <row r="478" spans="3:4" x14ac:dyDescent="0.3">
      <c r="C478" s="69" t="s">
        <v>1158</v>
      </c>
      <c r="D478" s="54" t="s">
        <v>709</v>
      </c>
    </row>
    <row r="479" spans="3:4" x14ac:dyDescent="0.3">
      <c r="C479" s="69" t="s">
        <v>1159</v>
      </c>
      <c r="D479" s="54" t="s">
        <v>709</v>
      </c>
    </row>
    <row r="480" spans="3:4" x14ac:dyDescent="0.3">
      <c r="C480" s="69" t="s">
        <v>1160</v>
      </c>
      <c r="D480" s="54" t="s">
        <v>709</v>
      </c>
    </row>
    <row r="481" spans="3:4" x14ac:dyDescent="0.3">
      <c r="C481" s="69" t="s">
        <v>1161</v>
      </c>
      <c r="D481" s="54" t="s">
        <v>709</v>
      </c>
    </row>
    <row r="482" spans="3:4" x14ac:dyDescent="0.3">
      <c r="C482" s="69" t="s">
        <v>1162</v>
      </c>
      <c r="D482" s="54" t="s">
        <v>709</v>
      </c>
    </row>
    <row r="483" spans="3:4" x14ac:dyDescent="0.3">
      <c r="C483" s="69" t="s">
        <v>1163</v>
      </c>
      <c r="D483" s="54" t="s">
        <v>709</v>
      </c>
    </row>
    <row r="484" spans="3:4" x14ac:dyDescent="0.3">
      <c r="C484" s="69" t="s">
        <v>473</v>
      </c>
      <c r="D484" s="54" t="s">
        <v>709</v>
      </c>
    </row>
    <row r="485" spans="3:4" x14ac:dyDescent="0.3">
      <c r="C485" s="69" t="s">
        <v>1164</v>
      </c>
      <c r="D485" s="54" t="s">
        <v>709</v>
      </c>
    </row>
    <row r="486" spans="3:4" x14ac:dyDescent="0.3">
      <c r="C486" s="69" t="s">
        <v>1165</v>
      </c>
      <c r="D486" s="54" t="s">
        <v>709</v>
      </c>
    </row>
    <row r="487" spans="3:4" x14ac:dyDescent="0.3">
      <c r="C487" s="69" t="s">
        <v>375</v>
      </c>
      <c r="D487" s="54" t="s">
        <v>709</v>
      </c>
    </row>
    <row r="488" spans="3:4" x14ac:dyDescent="0.3">
      <c r="C488" s="69" t="s">
        <v>81</v>
      </c>
      <c r="D488" s="52" t="s">
        <v>709</v>
      </c>
    </row>
    <row r="489" spans="3:4" x14ac:dyDescent="0.3">
      <c r="C489" s="69" t="s">
        <v>1166</v>
      </c>
      <c r="D489" s="52" t="s">
        <v>709</v>
      </c>
    </row>
    <row r="490" spans="3:4" x14ac:dyDescent="0.3">
      <c r="C490" s="69" t="s">
        <v>1167</v>
      </c>
      <c r="D490" s="54" t="s">
        <v>709</v>
      </c>
    </row>
    <row r="491" spans="3:4" x14ac:dyDescent="0.3">
      <c r="C491" s="69" t="s">
        <v>1168</v>
      </c>
      <c r="D491" s="54" t="s">
        <v>709</v>
      </c>
    </row>
    <row r="492" spans="3:4" x14ac:dyDescent="0.3">
      <c r="C492" s="53" t="s">
        <v>499</v>
      </c>
      <c r="D492" s="53" t="s">
        <v>709</v>
      </c>
    </row>
    <row r="493" spans="3:4" x14ac:dyDescent="0.3">
      <c r="C493" s="69" t="s">
        <v>1169</v>
      </c>
      <c r="D493" s="52" t="s">
        <v>709</v>
      </c>
    </row>
    <row r="494" spans="3:4" x14ac:dyDescent="0.3">
      <c r="C494" s="69" t="s">
        <v>386</v>
      </c>
      <c r="D494" s="54" t="s">
        <v>709</v>
      </c>
    </row>
    <row r="495" spans="3:4" x14ac:dyDescent="0.3">
      <c r="C495" s="69" t="s">
        <v>422</v>
      </c>
      <c r="D495" s="54" t="s">
        <v>709</v>
      </c>
    </row>
    <row r="496" spans="3:4" x14ac:dyDescent="0.3">
      <c r="C496" s="69" t="s">
        <v>1170</v>
      </c>
      <c r="D496" s="54" t="s">
        <v>709</v>
      </c>
    </row>
    <row r="497" spans="3:4" x14ac:dyDescent="0.3">
      <c r="C497" s="69" t="s">
        <v>154</v>
      </c>
      <c r="D497" s="54" t="s">
        <v>709</v>
      </c>
    </row>
    <row r="498" spans="3:4" x14ac:dyDescent="0.3">
      <c r="C498" s="69" t="s">
        <v>1171</v>
      </c>
      <c r="D498" s="54" t="s">
        <v>709</v>
      </c>
    </row>
    <row r="499" spans="3:4" x14ac:dyDescent="0.3">
      <c r="C499" s="69" t="s">
        <v>1172</v>
      </c>
      <c r="D499" s="54" t="s">
        <v>709</v>
      </c>
    </row>
    <row r="500" spans="3:4" x14ac:dyDescent="0.3">
      <c r="C500" s="69" t="s">
        <v>1173</v>
      </c>
      <c r="D500" s="54" t="s">
        <v>709</v>
      </c>
    </row>
    <row r="501" spans="3:4" x14ac:dyDescent="0.3">
      <c r="C501" s="69" t="s">
        <v>1174</v>
      </c>
      <c r="D501" s="54" t="s">
        <v>709</v>
      </c>
    </row>
    <row r="502" spans="3:4" x14ac:dyDescent="0.3">
      <c r="C502" s="69" t="s">
        <v>1175</v>
      </c>
      <c r="D502" s="52" t="s">
        <v>709</v>
      </c>
    </row>
    <row r="503" spans="3:4" x14ac:dyDescent="0.3">
      <c r="C503" s="69" t="s">
        <v>1176</v>
      </c>
      <c r="D503" s="54" t="s">
        <v>709</v>
      </c>
    </row>
    <row r="504" spans="3:4" x14ac:dyDescent="0.3">
      <c r="C504" s="69" t="s">
        <v>1177</v>
      </c>
      <c r="D504" s="54" t="s">
        <v>709</v>
      </c>
    </row>
    <row r="505" spans="3:4" x14ac:dyDescent="0.3">
      <c r="C505" s="69" t="s">
        <v>1178</v>
      </c>
      <c r="D505" s="54" t="s">
        <v>709</v>
      </c>
    </row>
    <row r="506" spans="3:4" x14ac:dyDescent="0.3">
      <c r="C506" s="69" t="s">
        <v>1179</v>
      </c>
      <c r="D506" s="54" t="s">
        <v>709</v>
      </c>
    </row>
    <row r="507" spans="3:4" x14ac:dyDescent="0.3">
      <c r="C507" s="53" t="s">
        <v>1180</v>
      </c>
      <c r="D507" s="52" t="s">
        <v>709</v>
      </c>
    </row>
    <row r="508" spans="3:4" x14ac:dyDescent="0.3">
      <c r="C508" s="69" t="s">
        <v>1181</v>
      </c>
      <c r="D508" s="54" t="s">
        <v>709</v>
      </c>
    </row>
    <row r="509" spans="3:4" x14ac:dyDescent="0.3">
      <c r="C509" s="69" t="s">
        <v>1182</v>
      </c>
      <c r="D509" s="54" t="s">
        <v>709</v>
      </c>
    </row>
    <row r="510" spans="3:4" x14ac:dyDescent="0.3">
      <c r="C510" s="69" t="s">
        <v>1183</v>
      </c>
      <c r="D510" s="54" t="s">
        <v>709</v>
      </c>
    </row>
    <row r="511" spans="3:4" x14ac:dyDescent="0.3">
      <c r="C511" s="69" t="s">
        <v>1184</v>
      </c>
      <c r="D511" s="54" t="s">
        <v>709</v>
      </c>
    </row>
    <row r="512" spans="3:4" x14ac:dyDescent="0.3">
      <c r="C512" s="69" t="s">
        <v>1185</v>
      </c>
      <c r="D512" s="54" t="s">
        <v>709</v>
      </c>
    </row>
    <row r="513" spans="3:4" x14ac:dyDescent="0.3">
      <c r="C513" s="69" t="s">
        <v>1186</v>
      </c>
      <c r="D513" s="54" t="s">
        <v>709</v>
      </c>
    </row>
    <row r="514" spans="3:4" x14ac:dyDescent="0.3">
      <c r="C514" s="69" t="s">
        <v>1187</v>
      </c>
      <c r="D514" s="52" t="s">
        <v>709</v>
      </c>
    </row>
    <row r="515" spans="3:4" x14ac:dyDescent="0.3">
      <c r="C515" s="69" t="s">
        <v>1188</v>
      </c>
      <c r="D515" s="54" t="s">
        <v>709</v>
      </c>
    </row>
    <row r="516" spans="3:4" x14ac:dyDescent="0.3">
      <c r="C516" s="70" t="s">
        <v>1189</v>
      </c>
      <c r="D516" s="56" t="s">
        <v>709</v>
      </c>
    </row>
    <row r="517" spans="3:4" x14ac:dyDescent="0.3">
      <c r="C517" s="69" t="s">
        <v>244</v>
      </c>
      <c r="D517" s="54" t="s">
        <v>709</v>
      </c>
    </row>
    <row r="518" spans="3:4" x14ac:dyDescent="0.3">
      <c r="C518" s="69" t="s">
        <v>1190</v>
      </c>
      <c r="D518" s="54" t="s">
        <v>709</v>
      </c>
    </row>
    <row r="519" spans="3:4" x14ac:dyDescent="0.3">
      <c r="C519" s="69" t="s">
        <v>249</v>
      </c>
      <c r="D519" s="54" t="s">
        <v>709</v>
      </c>
    </row>
    <row r="520" spans="3:4" x14ac:dyDescent="0.3">
      <c r="C520" s="69" t="s">
        <v>1191</v>
      </c>
      <c r="D520" s="54" t="s">
        <v>709</v>
      </c>
    </row>
    <row r="521" spans="3:4" x14ac:dyDescent="0.3">
      <c r="C521" s="69" t="s">
        <v>150</v>
      </c>
      <c r="D521" s="54" t="s">
        <v>709</v>
      </c>
    </row>
    <row r="522" spans="3:4" x14ac:dyDescent="0.3">
      <c r="C522" s="69" t="s">
        <v>1192</v>
      </c>
      <c r="D522" s="52" t="s">
        <v>709</v>
      </c>
    </row>
    <row r="523" spans="3:4" x14ac:dyDescent="0.3">
      <c r="C523" s="69" t="s">
        <v>1193</v>
      </c>
      <c r="D523" s="54" t="s">
        <v>709</v>
      </c>
    </row>
    <row r="524" spans="3:4" x14ac:dyDescent="0.3">
      <c r="C524" s="72" t="s">
        <v>1194</v>
      </c>
      <c r="D524" s="54" t="s">
        <v>1195</v>
      </c>
    </row>
    <row r="525" spans="3:4" x14ac:dyDescent="0.3">
      <c r="C525" s="69" t="s">
        <v>1196</v>
      </c>
      <c r="D525" s="52" t="s">
        <v>1195</v>
      </c>
    </row>
    <row r="526" spans="3:4" x14ac:dyDescent="0.3">
      <c r="C526" s="53" t="s">
        <v>1197</v>
      </c>
      <c r="D526" s="52" t="s">
        <v>1195</v>
      </c>
    </row>
    <row r="527" spans="3:4" x14ac:dyDescent="0.3">
      <c r="C527" s="69" t="s">
        <v>1198</v>
      </c>
      <c r="D527" s="52" t="s">
        <v>1195</v>
      </c>
    </row>
  </sheetData>
  <sheetProtection sheet="1" objects="1" scenarios="1"/>
  <sortState xmlns:xlrd2="http://schemas.microsoft.com/office/spreadsheetml/2017/richdata2" ref="A21:A49">
    <sortCondition ref="A21:A49"/>
  </sortState>
  <dataValidations count="1">
    <dataValidation allowBlank="1" showInputMessage="1" showErrorMessage="1" promptTitle="Mise en forme" prompt="N'oubliez pas la Majuscule, sauf sur les particules (le/la/des/l'/...)_x000a_N'oubliez pas [virgule, espace] entre la Rue et le n°" sqref="C468:C471" xr:uid="{D664439B-C8F3-4F03-9597-D9FEB6D59B7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Liste usagers 2025</vt:lpstr>
      <vt:lpstr>Synthèse 2025</vt:lpstr>
      <vt:lpstr>Index</vt:lpstr>
      <vt:lpstr>'Synthèse 2025'!Zone_d_impression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omessaoudi@anderlecht.brussels</dc:creator>
  <cp:keywords/>
  <dc:description/>
  <cp:lastModifiedBy>MESSAOUDI Omar</cp:lastModifiedBy>
  <cp:revision/>
  <dcterms:created xsi:type="dcterms:W3CDTF">2023-06-15T11:47:59Z</dcterms:created>
  <dcterms:modified xsi:type="dcterms:W3CDTF">2025-11-21T09:59:57Z</dcterms:modified>
  <cp:category/>
  <cp:contentStatus/>
</cp:coreProperties>
</file>